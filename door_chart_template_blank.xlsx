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drawings/drawing3.xml" ContentType="application/vnd.openxmlformats-officedocument.drawing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drawings/drawing4.xml" ContentType="application/vnd.openxmlformats-officedocument.drawing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 defaultThemeVersion="166925"/>
  <xr:revisionPtr revIDLastSave="0" documentId="13_ncr:1_{1808FFB1-7C04-9146-A249-523E86401F4E}" xr6:coauthVersionLast="47" xr6:coauthVersionMax="47" xr10:uidLastSave="{00000000-0000-0000-0000-000000000000}"/>
  <bookViews>
    <workbookView xWindow="0" yWindow="600" windowWidth="27040" windowHeight="15320" activeTab="2" xr2:uid="{00000000-000D-0000-FFFF-FFFF00000000}"/>
  </bookViews>
  <sheets>
    <sheet name="Header" sheetId="1" r:id="rId1"/>
    <sheet name="Master" sheetId="2" r:id="rId2"/>
    <sheet name="Terminal Cans" sheetId="4" r:id="rId3"/>
    <sheet name="RSPs" sheetId="5" r:id="rId4"/>
    <sheet name="Power Supplies" sheetId="6" r:id="rId5"/>
    <sheet name="LX-KP-710s" sheetId="7" r:id="rId6"/>
  </sheets>
  <definedNames>
    <definedName name="ExternalData_1" localSheetId="1" hidden="1">Master!$A$1:$B$368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3" i="4" l="1"/>
  <c r="B354" i="4"/>
  <c r="B352" i="4"/>
  <c r="F353" i="4"/>
  <c r="F354" i="4"/>
  <c r="F352" i="4"/>
  <c r="F328" i="4"/>
  <c r="F329" i="4"/>
  <c r="F327" i="4"/>
  <c r="B329" i="4"/>
  <c r="F304" i="4"/>
  <c r="B304" i="4"/>
  <c r="F279" i="4"/>
  <c r="B279" i="4"/>
  <c r="F254" i="4"/>
  <c r="B254" i="4"/>
  <c r="B229" i="4"/>
  <c r="B328" i="4"/>
  <c r="F303" i="4"/>
  <c r="B303" i="4"/>
  <c r="F278" i="4"/>
  <c r="B278" i="4"/>
  <c r="F253" i="4"/>
  <c r="B253" i="4"/>
  <c r="B228" i="4"/>
  <c r="B327" i="4"/>
  <c r="F302" i="4"/>
  <c r="B302" i="4"/>
  <c r="F277" i="4"/>
  <c r="B277" i="4"/>
  <c r="F252" i="4"/>
  <c r="B252" i="4"/>
  <c r="F227" i="4"/>
  <c r="B227" i="4"/>
  <c r="F203" i="4"/>
  <c r="F204" i="4"/>
  <c r="F202" i="4"/>
  <c r="B203" i="4"/>
  <c r="B204" i="4"/>
  <c r="B202" i="4"/>
  <c r="F178" i="4"/>
  <c r="F179" i="4"/>
  <c r="F177" i="4"/>
  <c r="B178" i="4"/>
  <c r="B179" i="4"/>
  <c r="B177" i="4"/>
  <c r="F153" i="4"/>
  <c r="F154" i="4"/>
  <c r="F152" i="4"/>
  <c r="F53" i="4"/>
  <c r="F54" i="4"/>
  <c r="F52" i="4"/>
  <c r="F28" i="4"/>
  <c r="F29" i="4"/>
  <c r="F27" i="4"/>
  <c r="F2" i="4"/>
  <c r="F366" i="5"/>
  <c r="F367" i="5"/>
  <c r="F365" i="5"/>
  <c r="B366" i="5"/>
  <c r="B367" i="5"/>
  <c r="B365" i="5"/>
  <c r="F340" i="5"/>
  <c r="F341" i="5"/>
  <c r="F339" i="5"/>
  <c r="B340" i="5"/>
  <c r="B341" i="5"/>
  <c r="B339" i="5"/>
  <c r="F314" i="5"/>
  <c r="F315" i="5"/>
  <c r="F313" i="5"/>
  <c r="B314" i="5"/>
  <c r="B315" i="5"/>
  <c r="B313" i="5"/>
  <c r="F288" i="5"/>
  <c r="F289" i="5"/>
  <c r="F287" i="5"/>
  <c r="B288" i="5"/>
  <c r="B289" i="5"/>
  <c r="B287" i="5"/>
  <c r="F262" i="5"/>
  <c r="F263" i="5"/>
  <c r="F261" i="5"/>
  <c r="B262" i="5"/>
  <c r="B263" i="5"/>
  <c r="B261" i="5"/>
  <c r="F236" i="5"/>
  <c r="F237" i="5"/>
  <c r="F235" i="5"/>
  <c r="B236" i="5"/>
  <c r="B237" i="5"/>
  <c r="B235" i="5"/>
  <c r="F180" i="7"/>
  <c r="C180" i="7"/>
  <c r="F179" i="7"/>
  <c r="C179" i="7"/>
  <c r="F178" i="7"/>
  <c r="C178" i="7"/>
  <c r="F177" i="7"/>
  <c r="C177" i="7"/>
  <c r="E175" i="7"/>
  <c r="B175" i="7"/>
  <c r="E172" i="7"/>
  <c r="B172" i="7"/>
  <c r="E171" i="7"/>
  <c r="B171" i="7"/>
  <c r="E170" i="7"/>
  <c r="B170" i="7"/>
  <c r="F168" i="7"/>
  <c r="C168" i="7"/>
  <c r="F167" i="7"/>
  <c r="C167" i="7"/>
  <c r="F166" i="7"/>
  <c r="C166" i="7"/>
  <c r="F165" i="7"/>
  <c r="C165" i="7"/>
  <c r="E163" i="7"/>
  <c r="B163" i="7"/>
  <c r="E160" i="7"/>
  <c r="B160" i="7"/>
  <c r="E159" i="7"/>
  <c r="B159" i="7"/>
  <c r="E158" i="7"/>
  <c r="B158" i="7"/>
  <c r="F156" i="7"/>
  <c r="C156" i="7"/>
  <c r="F155" i="7"/>
  <c r="C155" i="7"/>
  <c r="F154" i="7"/>
  <c r="C154" i="7"/>
  <c r="F153" i="7"/>
  <c r="C153" i="7"/>
  <c r="E151" i="7"/>
  <c r="B151" i="7"/>
  <c r="E148" i="7"/>
  <c r="B148" i="7"/>
  <c r="E147" i="7"/>
  <c r="B147" i="7"/>
  <c r="E146" i="7"/>
  <c r="B146" i="7"/>
  <c r="F144" i="7"/>
  <c r="C144" i="7"/>
  <c r="F143" i="7"/>
  <c r="C143" i="7"/>
  <c r="F142" i="7"/>
  <c r="C142" i="7"/>
  <c r="F141" i="7"/>
  <c r="C141" i="7"/>
  <c r="E139" i="7"/>
  <c r="B139" i="7"/>
  <c r="E136" i="7"/>
  <c r="B136" i="7"/>
  <c r="E135" i="7"/>
  <c r="B135" i="7"/>
  <c r="E134" i="7"/>
  <c r="B134" i="7"/>
  <c r="F132" i="7"/>
  <c r="C132" i="7"/>
  <c r="F131" i="7"/>
  <c r="C131" i="7"/>
  <c r="F130" i="7"/>
  <c r="C130" i="7"/>
  <c r="F129" i="7"/>
  <c r="C129" i="7"/>
  <c r="E127" i="7"/>
  <c r="B127" i="7"/>
  <c r="E124" i="7"/>
  <c r="B124" i="7"/>
  <c r="E123" i="7"/>
  <c r="B123" i="7"/>
  <c r="E122" i="7"/>
  <c r="B122" i="7"/>
  <c r="F120" i="7"/>
  <c r="C120" i="7"/>
  <c r="F119" i="7"/>
  <c r="C119" i="7"/>
  <c r="F118" i="7"/>
  <c r="C118" i="7"/>
  <c r="F117" i="7"/>
  <c r="C117" i="7"/>
  <c r="E115" i="7"/>
  <c r="B115" i="7"/>
  <c r="E112" i="7"/>
  <c r="B112" i="7"/>
  <c r="E111" i="7"/>
  <c r="B111" i="7"/>
  <c r="E110" i="7"/>
  <c r="B110" i="7"/>
  <c r="F108" i="7"/>
  <c r="C108" i="7"/>
  <c r="F107" i="7"/>
  <c r="C107" i="7"/>
  <c r="F106" i="7"/>
  <c r="C106" i="7"/>
  <c r="F105" i="7"/>
  <c r="C105" i="7"/>
  <c r="E103" i="7"/>
  <c r="B103" i="7"/>
  <c r="E100" i="7"/>
  <c r="B100" i="7"/>
  <c r="E99" i="7"/>
  <c r="B99" i="7"/>
  <c r="E98" i="7"/>
  <c r="B98" i="7"/>
  <c r="F96" i="7"/>
  <c r="C96" i="7"/>
  <c r="F95" i="7"/>
  <c r="C95" i="7"/>
  <c r="F94" i="7"/>
  <c r="C94" i="7"/>
  <c r="F93" i="7"/>
  <c r="C93" i="7"/>
  <c r="E91" i="7"/>
  <c r="B91" i="7"/>
  <c r="E88" i="7"/>
  <c r="B88" i="7"/>
  <c r="E87" i="7"/>
  <c r="B87" i="7"/>
  <c r="E86" i="7"/>
  <c r="B86" i="7"/>
  <c r="F84" i="7"/>
  <c r="C84" i="7"/>
  <c r="F83" i="7"/>
  <c r="C83" i="7"/>
  <c r="F82" i="7"/>
  <c r="C82" i="7"/>
  <c r="F81" i="7"/>
  <c r="C81" i="7"/>
  <c r="E79" i="7"/>
  <c r="B79" i="7"/>
  <c r="E76" i="7"/>
  <c r="B76" i="7"/>
  <c r="E75" i="7"/>
  <c r="B75" i="7"/>
  <c r="E74" i="7"/>
  <c r="B74" i="7"/>
  <c r="F72" i="7"/>
  <c r="C72" i="7"/>
  <c r="F71" i="7"/>
  <c r="C71" i="7"/>
  <c r="F70" i="7"/>
  <c r="C70" i="7"/>
  <c r="F69" i="7"/>
  <c r="C69" i="7"/>
  <c r="E67" i="7"/>
  <c r="B67" i="7"/>
  <c r="E64" i="7"/>
  <c r="B64" i="7"/>
  <c r="E63" i="7"/>
  <c r="B63" i="7"/>
  <c r="E62" i="7"/>
  <c r="B62" i="7"/>
  <c r="F60" i="7"/>
  <c r="C60" i="7"/>
  <c r="F59" i="7"/>
  <c r="C59" i="7"/>
  <c r="F58" i="7"/>
  <c r="C58" i="7"/>
  <c r="F57" i="7"/>
  <c r="C57" i="7"/>
  <c r="E55" i="7"/>
  <c r="B55" i="7"/>
  <c r="E52" i="7"/>
  <c r="B52" i="7"/>
  <c r="E51" i="7"/>
  <c r="B51" i="7"/>
  <c r="E50" i="7"/>
  <c r="B50" i="7"/>
  <c r="F48" i="7"/>
  <c r="C48" i="7"/>
  <c r="F47" i="7"/>
  <c r="C47" i="7"/>
  <c r="F46" i="7"/>
  <c r="C46" i="7"/>
  <c r="F45" i="7"/>
  <c r="C45" i="7"/>
  <c r="E43" i="7"/>
  <c r="B43" i="7"/>
  <c r="E40" i="7"/>
  <c r="B40" i="7"/>
  <c r="E39" i="7"/>
  <c r="B39" i="7"/>
  <c r="E38" i="7"/>
  <c r="B38" i="7"/>
  <c r="F36" i="7"/>
  <c r="C36" i="7"/>
  <c r="F35" i="7"/>
  <c r="C35" i="7"/>
  <c r="F34" i="7"/>
  <c r="C34" i="7"/>
  <c r="F33" i="7"/>
  <c r="C33" i="7"/>
  <c r="E31" i="7"/>
  <c r="B31" i="7"/>
  <c r="E28" i="7"/>
  <c r="B28" i="7"/>
  <c r="E27" i="7"/>
  <c r="B27" i="7"/>
  <c r="E26" i="7"/>
  <c r="B26" i="7"/>
  <c r="F24" i="7"/>
  <c r="C24" i="7"/>
  <c r="F23" i="7"/>
  <c r="C23" i="7"/>
  <c r="F22" i="7"/>
  <c r="C22" i="7"/>
  <c r="F21" i="7"/>
  <c r="C21" i="7"/>
  <c r="E19" i="7"/>
  <c r="B19" i="7"/>
  <c r="E16" i="7"/>
  <c r="B16" i="7"/>
  <c r="E15" i="7"/>
  <c r="B15" i="7"/>
  <c r="E14" i="7"/>
  <c r="B14" i="7"/>
  <c r="F12" i="7"/>
  <c r="C12" i="7"/>
  <c r="F11" i="7"/>
  <c r="C11" i="7"/>
  <c r="F10" i="7"/>
  <c r="C10" i="7"/>
  <c r="F9" i="7"/>
  <c r="C9" i="7"/>
  <c r="E7" i="7"/>
  <c r="B7" i="7"/>
  <c r="E4" i="7"/>
  <c r="B4" i="7"/>
  <c r="E3" i="7"/>
  <c r="B3" i="7"/>
  <c r="E2" i="7"/>
  <c r="B2" i="7"/>
  <c r="F178" i="6"/>
  <c r="C178" i="6"/>
  <c r="F177" i="6"/>
  <c r="C177" i="6"/>
  <c r="E175" i="6"/>
  <c r="B175" i="6"/>
  <c r="E172" i="6"/>
  <c r="B172" i="6"/>
  <c r="E171" i="6"/>
  <c r="B171" i="6"/>
  <c r="E170" i="6"/>
  <c r="B170" i="6"/>
  <c r="F166" i="6"/>
  <c r="C166" i="6"/>
  <c r="F165" i="6"/>
  <c r="C165" i="6"/>
  <c r="E163" i="6"/>
  <c r="B163" i="6"/>
  <c r="E160" i="6"/>
  <c r="B160" i="6"/>
  <c r="E159" i="6"/>
  <c r="B159" i="6"/>
  <c r="E158" i="6"/>
  <c r="B158" i="6"/>
  <c r="F154" i="6"/>
  <c r="C154" i="6"/>
  <c r="F153" i="6"/>
  <c r="C153" i="6"/>
  <c r="E151" i="6"/>
  <c r="B151" i="6"/>
  <c r="E148" i="6"/>
  <c r="B148" i="6"/>
  <c r="E147" i="6"/>
  <c r="B147" i="6"/>
  <c r="E146" i="6"/>
  <c r="B146" i="6"/>
  <c r="F142" i="6"/>
  <c r="C142" i="6"/>
  <c r="F141" i="6"/>
  <c r="C141" i="6"/>
  <c r="E139" i="6"/>
  <c r="B139" i="6"/>
  <c r="E136" i="6"/>
  <c r="B136" i="6"/>
  <c r="E135" i="6"/>
  <c r="B135" i="6"/>
  <c r="E134" i="6"/>
  <c r="B134" i="6"/>
  <c r="F130" i="6"/>
  <c r="C130" i="6"/>
  <c r="F129" i="6"/>
  <c r="C129" i="6"/>
  <c r="E127" i="6"/>
  <c r="B127" i="6"/>
  <c r="E124" i="6"/>
  <c r="B124" i="6"/>
  <c r="E123" i="6"/>
  <c r="B123" i="6"/>
  <c r="E122" i="6"/>
  <c r="B122" i="6"/>
  <c r="F118" i="6"/>
  <c r="C118" i="6"/>
  <c r="F117" i="6"/>
  <c r="C117" i="6"/>
  <c r="E115" i="6"/>
  <c r="B115" i="6"/>
  <c r="E112" i="6"/>
  <c r="B112" i="6"/>
  <c r="E111" i="6"/>
  <c r="B111" i="6"/>
  <c r="E110" i="6"/>
  <c r="B110" i="6"/>
  <c r="F106" i="6"/>
  <c r="C106" i="6"/>
  <c r="F105" i="6"/>
  <c r="C105" i="6"/>
  <c r="E103" i="6"/>
  <c r="B103" i="6"/>
  <c r="E100" i="6"/>
  <c r="B100" i="6"/>
  <c r="E99" i="6"/>
  <c r="B99" i="6"/>
  <c r="E98" i="6"/>
  <c r="B98" i="6"/>
  <c r="F94" i="6"/>
  <c r="C94" i="6"/>
  <c r="F93" i="6"/>
  <c r="C93" i="6"/>
  <c r="E91" i="6"/>
  <c r="B91" i="6"/>
  <c r="E88" i="6"/>
  <c r="B88" i="6"/>
  <c r="E87" i="6"/>
  <c r="B87" i="6"/>
  <c r="E86" i="6"/>
  <c r="B86" i="6"/>
  <c r="F82" i="6"/>
  <c r="C82" i="6"/>
  <c r="F81" i="6"/>
  <c r="C81" i="6"/>
  <c r="E79" i="6"/>
  <c r="B79" i="6"/>
  <c r="E76" i="6"/>
  <c r="B76" i="6"/>
  <c r="E75" i="6"/>
  <c r="B75" i="6"/>
  <c r="E74" i="6"/>
  <c r="B74" i="6"/>
  <c r="F70" i="6"/>
  <c r="C70" i="6"/>
  <c r="F69" i="6"/>
  <c r="C69" i="6"/>
  <c r="E67" i="6"/>
  <c r="B67" i="6"/>
  <c r="E64" i="6"/>
  <c r="B64" i="6"/>
  <c r="E63" i="6"/>
  <c r="B63" i="6"/>
  <c r="E62" i="6"/>
  <c r="B62" i="6"/>
  <c r="F58" i="6"/>
  <c r="C58" i="6"/>
  <c r="F57" i="6"/>
  <c r="C57" i="6"/>
  <c r="E55" i="6"/>
  <c r="B55" i="6"/>
  <c r="E52" i="6"/>
  <c r="B52" i="6"/>
  <c r="E51" i="6"/>
  <c r="B51" i="6"/>
  <c r="E50" i="6"/>
  <c r="B50" i="6"/>
  <c r="F46" i="6"/>
  <c r="C46" i="6"/>
  <c r="F45" i="6"/>
  <c r="C45" i="6"/>
  <c r="E43" i="6"/>
  <c r="B43" i="6"/>
  <c r="E40" i="6"/>
  <c r="B40" i="6"/>
  <c r="E39" i="6"/>
  <c r="B39" i="6"/>
  <c r="E38" i="6"/>
  <c r="B38" i="6"/>
  <c r="F34" i="6"/>
  <c r="C34" i="6"/>
  <c r="F33" i="6"/>
  <c r="C33" i="6"/>
  <c r="E31" i="6"/>
  <c r="B31" i="6"/>
  <c r="E28" i="6"/>
  <c r="B28" i="6"/>
  <c r="E27" i="6"/>
  <c r="B27" i="6"/>
  <c r="E26" i="6"/>
  <c r="B26" i="6"/>
  <c r="F22" i="6"/>
  <c r="C22" i="6"/>
  <c r="F21" i="6"/>
  <c r="C21" i="6"/>
  <c r="E19" i="6"/>
  <c r="B19" i="6"/>
  <c r="E16" i="6"/>
  <c r="B16" i="6"/>
  <c r="E15" i="6"/>
  <c r="B15" i="6"/>
  <c r="E14" i="6"/>
  <c r="B14" i="6"/>
  <c r="F10" i="6"/>
  <c r="C10" i="6"/>
  <c r="F9" i="6"/>
  <c r="C9" i="6"/>
  <c r="E7" i="6"/>
  <c r="B7" i="6"/>
  <c r="E4" i="6"/>
  <c r="B4" i="6"/>
  <c r="E3" i="6"/>
  <c r="B3" i="6"/>
  <c r="E2" i="6"/>
  <c r="B2" i="6"/>
  <c r="H374" i="4"/>
  <c r="G374" i="4"/>
  <c r="F374" i="4"/>
  <c r="D374" i="4"/>
  <c r="C374" i="4"/>
  <c r="B374" i="4"/>
  <c r="H373" i="4"/>
  <c r="G373" i="4"/>
  <c r="F373" i="4"/>
  <c r="D373" i="4"/>
  <c r="C373" i="4"/>
  <c r="B373" i="4"/>
  <c r="H372" i="4"/>
  <c r="G372" i="4"/>
  <c r="F372" i="4"/>
  <c r="D372" i="4"/>
  <c r="C372" i="4"/>
  <c r="B372" i="4"/>
  <c r="H371" i="4"/>
  <c r="G371" i="4"/>
  <c r="F371" i="4"/>
  <c r="D371" i="4"/>
  <c r="C371" i="4"/>
  <c r="B371" i="4"/>
  <c r="H370" i="4"/>
  <c r="G370" i="4"/>
  <c r="F370" i="4"/>
  <c r="D370" i="4"/>
  <c r="C370" i="4"/>
  <c r="B370" i="4"/>
  <c r="H369" i="4"/>
  <c r="G369" i="4"/>
  <c r="F369" i="4"/>
  <c r="D369" i="4"/>
  <c r="C369" i="4"/>
  <c r="B369" i="4"/>
  <c r="H368" i="4"/>
  <c r="G368" i="4"/>
  <c r="F368" i="4"/>
  <c r="D368" i="4"/>
  <c r="C368" i="4"/>
  <c r="B368" i="4"/>
  <c r="H367" i="4"/>
  <c r="G367" i="4"/>
  <c r="F367" i="4"/>
  <c r="D367" i="4"/>
  <c r="C367" i="4"/>
  <c r="B367" i="4"/>
  <c r="H366" i="4"/>
  <c r="G366" i="4"/>
  <c r="F366" i="4"/>
  <c r="D366" i="4"/>
  <c r="C366" i="4"/>
  <c r="B366" i="4"/>
  <c r="H365" i="4"/>
  <c r="G365" i="4"/>
  <c r="F365" i="4"/>
  <c r="D365" i="4"/>
  <c r="C365" i="4"/>
  <c r="B365" i="4"/>
  <c r="H364" i="4"/>
  <c r="G364" i="4"/>
  <c r="F364" i="4"/>
  <c r="D364" i="4"/>
  <c r="C364" i="4"/>
  <c r="B364" i="4"/>
  <c r="H363" i="4"/>
  <c r="G363" i="4"/>
  <c r="F363" i="4"/>
  <c r="D363" i="4"/>
  <c r="C363" i="4"/>
  <c r="B363" i="4"/>
  <c r="H362" i="4"/>
  <c r="G362" i="4"/>
  <c r="F362" i="4"/>
  <c r="D362" i="4"/>
  <c r="C362" i="4"/>
  <c r="B362" i="4"/>
  <c r="H361" i="4"/>
  <c r="G361" i="4"/>
  <c r="F361" i="4"/>
  <c r="D361" i="4"/>
  <c r="C361" i="4"/>
  <c r="B361" i="4"/>
  <c r="H360" i="4"/>
  <c r="G360" i="4"/>
  <c r="F360" i="4"/>
  <c r="D360" i="4"/>
  <c r="C360" i="4"/>
  <c r="B360" i="4"/>
  <c r="H359" i="4"/>
  <c r="G359" i="4"/>
  <c r="F359" i="4"/>
  <c r="D359" i="4"/>
  <c r="C359" i="4"/>
  <c r="B359" i="4"/>
  <c r="F357" i="4"/>
  <c r="B357" i="4"/>
  <c r="H349" i="4"/>
  <c r="G349" i="4"/>
  <c r="F349" i="4"/>
  <c r="D349" i="4"/>
  <c r="C349" i="4"/>
  <c r="B349" i="4"/>
  <c r="H348" i="4"/>
  <c r="G348" i="4"/>
  <c r="F348" i="4"/>
  <c r="D348" i="4"/>
  <c r="C348" i="4"/>
  <c r="B348" i="4"/>
  <c r="H347" i="4"/>
  <c r="G347" i="4"/>
  <c r="F347" i="4"/>
  <c r="D347" i="4"/>
  <c r="C347" i="4"/>
  <c r="B347" i="4"/>
  <c r="H346" i="4"/>
  <c r="G346" i="4"/>
  <c r="F346" i="4"/>
  <c r="D346" i="4"/>
  <c r="C346" i="4"/>
  <c r="B346" i="4"/>
  <c r="H345" i="4"/>
  <c r="G345" i="4"/>
  <c r="F345" i="4"/>
  <c r="D345" i="4"/>
  <c r="C345" i="4"/>
  <c r="B345" i="4"/>
  <c r="H344" i="4"/>
  <c r="G344" i="4"/>
  <c r="F344" i="4"/>
  <c r="D344" i="4"/>
  <c r="C344" i="4"/>
  <c r="B344" i="4"/>
  <c r="H343" i="4"/>
  <c r="G343" i="4"/>
  <c r="F343" i="4"/>
  <c r="D343" i="4"/>
  <c r="C343" i="4"/>
  <c r="B343" i="4"/>
  <c r="H342" i="4"/>
  <c r="G342" i="4"/>
  <c r="F342" i="4"/>
  <c r="D342" i="4"/>
  <c r="C342" i="4"/>
  <c r="B342" i="4"/>
  <c r="H341" i="4"/>
  <c r="G341" i="4"/>
  <c r="F341" i="4"/>
  <c r="D341" i="4"/>
  <c r="C341" i="4"/>
  <c r="B341" i="4"/>
  <c r="H340" i="4"/>
  <c r="G340" i="4"/>
  <c r="F340" i="4"/>
  <c r="D340" i="4"/>
  <c r="C340" i="4"/>
  <c r="B340" i="4"/>
  <c r="H339" i="4"/>
  <c r="G339" i="4"/>
  <c r="F339" i="4"/>
  <c r="D339" i="4"/>
  <c r="C339" i="4"/>
  <c r="B339" i="4"/>
  <c r="H338" i="4"/>
  <c r="G338" i="4"/>
  <c r="F338" i="4"/>
  <c r="D338" i="4"/>
  <c r="C338" i="4"/>
  <c r="B338" i="4"/>
  <c r="H337" i="4"/>
  <c r="G337" i="4"/>
  <c r="F337" i="4"/>
  <c r="D337" i="4"/>
  <c r="C337" i="4"/>
  <c r="B337" i="4"/>
  <c r="H336" i="4"/>
  <c r="G336" i="4"/>
  <c r="F336" i="4"/>
  <c r="D336" i="4"/>
  <c r="C336" i="4"/>
  <c r="B336" i="4"/>
  <c r="H335" i="4"/>
  <c r="G335" i="4"/>
  <c r="F335" i="4"/>
  <c r="D335" i="4"/>
  <c r="C335" i="4"/>
  <c r="B335" i="4"/>
  <c r="H334" i="4"/>
  <c r="G334" i="4"/>
  <c r="F334" i="4"/>
  <c r="D334" i="4"/>
  <c r="C334" i="4"/>
  <c r="B334" i="4"/>
  <c r="F332" i="4"/>
  <c r="B332" i="4"/>
  <c r="H324" i="4"/>
  <c r="G324" i="4"/>
  <c r="F324" i="4"/>
  <c r="D324" i="4"/>
  <c r="C324" i="4"/>
  <c r="B324" i="4"/>
  <c r="H323" i="4"/>
  <c r="G323" i="4"/>
  <c r="F323" i="4"/>
  <c r="D323" i="4"/>
  <c r="C323" i="4"/>
  <c r="B323" i="4"/>
  <c r="H322" i="4"/>
  <c r="G322" i="4"/>
  <c r="F322" i="4"/>
  <c r="D322" i="4"/>
  <c r="C322" i="4"/>
  <c r="B322" i="4"/>
  <c r="H321" i="4"/>
  <c r="G321" i="4"/>
  <c r="F321" i="4"/>
  <c r="D321" i="4"/>
  <c r="C321" i="4"/>
  <c r="B321" i="4"/>
  <c r="H320" i="4"/>
  <c r="G320" i="4"/>
  <c r="F320" i="4"/>
  <c r="D320" i="4"/>
  <c r="C320" i="4"/>
  <c r="B320" i="4"/>
  <c r="H319" i="4"/>
  <c r="G319" i="4"/>
  <c r="F319" i="4"/>
  <c r="D319" i="4"/>
  <c r="C319" i="4"/>
  <c r="B319" i="4"/>
  <c r="H318" i="4"/>
  <c r="G318" i="4"/>
  <c r="F318" i="4"/>
  <c r="D318" i="4"/>
  <c r="C318" i="4"/>
  <c r="B318" i="4"/>
  <c r="H317" i="4"/>
  <c r="G317" i="4"/>
  <c r="F317" i="4"/>
  <c r="D317" i="4"/>
  <c r="C317" i="4"/>
  <c r="B317" i="4"/>
  <c r="H316" i="4"/>
  <c r="G316" i="4"/>
  <c r="F316" i="4"/>
  <c r="D316" i="4"/>
  <c r="C316" i="4"/>
  <c r="B316" i="4"/>
  <c r="H315" i="4"/>
  <c r="G315" i="4"/>
  <c r="F315" i="4"/>
  <c r="D315" i="4"/>
  <c r="C315" i="4"/>
  <c r="B315" i="4"/>
  <c r="H314" i="4"/>
  <c r="G314" i="4"/>
  <c r="F314" i="4"/>
  <c r="D314" i="4"/>
  <c r="C314" i="4"/>
  <c r="B314" i="4"/>
  <c r="H313" i="4"/>
  <c r="G313" i="4"/>
  <c r="F313" i="4"/>
  <c r="D313" i="4"/>
  <c r="C313" i="4"/>
  <c r="B313" i="4"/>
  <c r="H312" i="4"/>
  <c r="G312" i="4"/>
  <c r="F312" i="4"/>
  <c r="D312" i="4"/>
  <c r="C312" i="4"/>
  <c r="B312" i="4"/>
  <c r="H311" i="4"/>
  <c r="G311" i="4"/>
  <c r="F311" i="4"/>
  <c r="D311" i="4"/>
  <c r="C311" i="4"/>
  <c r="B311" i="4"/>
  <c r="H310" i="4"/>
  <c r="G310" i="4"/>
  <c r="F310" i="4"/>
  <c r="D310" i="4"/>
  <c r="C310" i="4"/>
  <c r="B310" i="4"/>
  <c r="H309" i="4"/>
  <c r="G309" i="4"/>
  <c r="F309" i="4"/>
  <c r="D309" i="4"/>
  <c r="C309" i="4"/>
  <c r="B309" i="4"/>
  <c r="F307" i="4"/>
  <c r="B307" i="4"/>
  <c r="H299" i="4"/>
  <c r="G299" i="4"/>
  <c r="F299" i="4"/>
  <c r="D299" i="4"/>
  <c r="C299" i="4"/>
  <c r="B299" i="4"/>
  <c r="H298" i="4"/>
  <c r="G298" i="4"/>
  <c r="F298" i="4"/>
  <c r="D298" i="4"/>
  <c r="C298" i="4"/>
  <c r="B298" i="4"/>
  <c r="H297" i="4"/>
  <c r="G297" i="4"/>
  <c r="F297" i="4"/>
  <c r="D297" i="4"/>
  <c r="C297" i="4"/>
  <c r="B297" i="4"/>
  <c r="H296" i="4"/>
  <c r="G296" i="4"/>
  <c r="F296" i="4"/>
  <c r="D296" i="4"/>
  <c r="C296" i="4"/>
  <c r="B296" i="4"/>
  <c r="H295" i="4"/>
  <c r="G295" i="4"/>
  <c r="F295" i="4"/>
  <c r="D295" i="4"/>
  <c r="C295" i="4"/>
  <c r="B295" i="4"/>
  <c r="H294" i="4"/>
  <c r="G294" i="4"/>
  <c r="F294" i="4"/>
  <c r="D294" i="4"/>
  <c r="C294" i="4"/>
  <c r="B294" i="4"/>
  <c r="H293" i="4"/>
  <c r="G293" i="4"/>
  <c r="F293" i="4"/>
  <c r="D293" i="4"/>
  <c r="C293" i="4"/>
  <c r="B293" i="4"/>
  <c r="H292" i="4"/>
  <c r="G292" i="4"/>
  <c r="F292" i="4"/>
  <c r="D292" i="4"/>
  <c r="C292" i="4"/>
  <c r="B292" i="4"/>
  <c r="H291" i="4"/>
  <c r="G291" i="4"/>
  <c r="F291" i="4"/>
  <c r="D291" i="4"/>
  <c r="C291" i="4"/>
  <c r="B291" i="4"/>
  <c r="H290" i="4"/>
  <c r="G290" i="4"/>
  <c r="F290" i="4"/>
  <c r="D290" i="4"/>
  <c r="C290" i="4"/>
  <c r="B290" i="4"/>
  <c r="H289" i="4"/>
  <c r="G289" i="4"/>
  <c r="F289" i="4"/>
  <c r="D289" i="4"/>
  <c r="C289" i="4"/>
  <c r="B289" i="4"/>
  <c r="H288" i="4"/>
  <c r="G288" i="4"/>
  <c r="F288" i="4"/>
  <c r="D288" i="4"/>
  <c r="C288" i="4"/>
  <c r="B288" i="4"/>
  <c r="H287" i="4"/>
  <c r="G287" i="4"/>
  <c r="F287" i="4"/>
  <c r="D287" i="4"/>
  <c r="C287" i="4"/>
  <c r="B287" i="4"/>
  <c r="H286" i="4"/>
  <c r="G286" i="4"/>
  <c r="F286" i="4"/>
  <c r="D286" i="4"/>
  <c r="C286" i="4"/>
  <c r="B286" i="4"/>
  <c r="H285" i="4"/>
  <c r="G285" i="4"/>
  <c r="F285" i="4"/>
  <c r="D285" i="4"/>
  <c r="C285" i="4"/>
  <c r="B285" i="4"/>
  <c r="H284" i="4"/>
  <c r="G284" i="4"/>
  <c r="F284" i="4"/>
  <c r="D284" i="4"/>
  <c r="C284" i="4"/>
  <c r="B284" i="4"/>
  <c r="F282" i="4"/>
  <c r="B282" i="4"/>
  <c r="H274" i="4"/>
  <c r="G274" i="4"/>
  <c r="F274" i="4"/>
  <c r="D274" i="4"/>
  <c r="C274" i="4"/>
  <c r="B274" i="4"/>
  <c r="H273" i="4"/>
  <c r="G273" i="4"/>
  <c r="F273" i="4"/>
  <c r="D273" i="4"/>
  <c r="C273" i="4"/>
  <c r="B273" i="4"/>
  <c r="H272" i="4"/>
  <c r="G272" i="4"/>
  <c r="F272" i="4"/>
  <c r="D272" i="4"/>
  <c r="C272" i="4"/>
  <c r="B272" i="4"/>
  <c r="H271" i="4"/>
  <c r="G271" i="4"/>
  <c r="F271" i="4"/>
  <c r="D271" i="4"/>
  <c r="C271" i="4"/>
  <c r="B271" i="4"/>
  <c r="H270" i="4"/>
  <c r="G270" i="4"/>
  <c r="F270" i="4"/>
  <c r="D270" i="4"/>
  <c r="C270" i="4"/>
  <c r="B270" i="4"/>
  <c r="H269" i="4"/>
  <c r="G269" i="4"/>
  <c r="F269" i="4"/>
  <c r="D269" i="4"/>
  <c r="C269" i="4"/>
  <c r="B269" i="4"/>
  <c r="H268" i="4"/>
  <c r="G268" i="4"/>
  <c r="F268" i="4"/>
  <c r="D268" i="4"/>
  <c r="C268" i="4"/>
  <c r="B268" i="4"/>
  <c r="H267" i="4"/>
  <c r="G267" i="4"/>
  <c r="F267" i="4"/>
  <c r="D267" i="4"/>
  <c r="C267" i="4"/>
  <c r="B267" i="4"/>
  <c r="H266" i="4"/>
  <c r="G266" i="4"/>
  <c r="F266" i="4"/>
  <c r="D266" i="4"/>
  <c r="C266" i="4"/>
  <c r="B266" i="4"/>
  <c r="H265" i="4"/>
  <c r="G265" i="4"/>
  <c r="F265" i="4"/>
  <c r="D265" i="4"/>
  <c r="C265" i="4"/>
  <c r="B265" i="4"/>
  <c r="H264" i="4"/>
  <c r="G264" i="4"/>
  <c r="F264" i="4"/>
  <c r="D264" i="4"/>
  <c r="C264" i="4"/>
  <c r="B264" i="4"/>
  <c r="H263" i="4"/>
  <c r="G263" i="4"/>
  <c r="F263" i="4"/>
  <c r="D263" i="4"/>
  <c r="C263" i="4"/>
  <c r="B263" i="4"/>
  <c r="H262" i="4"/>
  <c r="G262" i="4"/>
  <c r="F262" i="4"/>
  <c r="D262" i="4"/>
  <c r="C262" i="4"/>
  <c r="B262" i="4"/>
  <c r="H261" i="4"/>
  <c r="G261" i="4"/>
  <c r="F261" i="4"/>
  <c r="D261" i="4"/>
  <c r="C261" i="4"/>
  <c r="B261" i="4"/>
  <c r="H260" i="4"/>
  <c r="G260" i="4"/>
  <c r="F260" i="4"/>
  <c r="D260" i="4"/>
  <c r="C260" i="4"/>
  <c r="B260" i="4"/>
  <c r="H259" i="4"/>
  <c r="G259" i="4"/>
  <c r="F259" i="4"/>
  <c r="D259" i="4"/>
  <c r="C259" i="4"/>
  <c r="B259" i="4"/>
  <c r="F257" i="4"/>
  <c r="B257" i="4"/>
  <c r="H249" i="4"/>
  <c r="G249" i="4"/>
  <c r="F249" i="4"/>
  <c r="D249" i="4"/>
  <c r="C249" i="4"/>
  <c r="B249" i="4"/>
  <c r="H248" i="4"/>
  <c r="G248" i="4"/>
  <c r="F248" i="4"/>
  <c r="D248" i="4"/>
  <c r="C248" i="4"/>
  <c r="B248" i="4"/>
  <c r="H247" i="4"/>
  <c r="G247" i="4"/>
  <c r="F247" i="4"/>
  <c r="D247" i="4"/>
  <c r="C247" i="4"/>
  <c r="B247" i="4"/>
  <c r="H246" i="4"/>
  <c r="G246" i="4"/>
  <c r="F246" i="4"/>
  <c r="D246" i="4"/>
  <c r="C246" i="4"/>
  <c r="B246" i="4"/>
  <c r="H245" i="4"/>
  <c r="G245" i="4"/>
  <c r="F245" i="4"/>
  <c r="D245" i="4"/>
  <c r="C245" i="4"/>
  <c r="B245" i="4"/>
  <c r="H244" i="4"/>
  <c r="G244" i="4"/>
  <c r="F244" i="4"/>
  <c r="D244" i="4"/>
  <c r="C244" i="4"/>
  <c r="B244" i="4"/>
  <c r="H243" i="4"/>
  <c r="G243" i="4"/>
  <c r="F243" i="4"/>
  <c r="D243" i="4"/>
  <c r="C243" i="4"/>
  <c r="B243" i="4"/>
  <c r="H242" i="4"/>
  <c r="G242" i="4"/>
  <c r="F242" i="4"/>
  <c r="D242" i="4"/>
  <c r="C242" i="4"/>
  <c r="B242" i="4"/>
  <c r="H241" i="4"/>
  <c r="G241" i="4"/>
  <c r="F241" i="4"/>
  <c r="D241" i="4"/>
  <c r="C241" i="4"/>
  <c r="B241" i="4"/>
  <c r="H240" i="4"/>
  <c r="G240" i="4"/>
  <c r="F240" i="4"/>
  <c r="D240" i="4"/>
  <c r="C240" i="4"/>
  <c r="B240" i="4"/>
  <c r="H239" i="4"/>
  <c r="G239" i="4"/>
  <c r="F239" i="4"/>
  <c r="D239" i="4"/>
  <c r="C239" i="4"/>
  <c r="B239" i="4"/>
  <c r="H238" i="4"/>
  <c r="G238" i="4"/>
  <c r="F238" i="4"/>
  <c r="D238" i="4"/>
  <c r="C238" i="4"/>
  <c r="B238" i="4"/>
  <c r="H237" i="4"/>
  <c r="G237" i="4"/>
  <c r="F237" i="4"/>
  <c r="D237" i="4"/>
  <c r="C237" i="4"/>
  <c r="B237" i="4"/>
  <c r="H236" i="4"/>
  <c r="G236" i="4"/>
  <c r="F236" i="4"/>
  <c r="D236" i="4"/>
  <c r="C236" i="4"/>
  <c r="B236" i="4"/>
  <c r="H235" i="4"/>
  <c r="G235" i="4"/>
  <c r="F235" i="4"/>
  <c r="D235" i="4"/>
  <c r="C235" i="4"/>
  <c r="B235" i="4"/>
  <c r="H234" i="4"/>
  <c r="G234" i="4"/>
  <c r="F234" i="4"/>
  <c r="D234" i="4"/>
  <c r="C234" i="4"/>
  <c r="B234" i="4"/>
  <c r="F232" i="4"/>
  <c r="B232" i="4"/>
  <c r="F229" i="4"/>
  <c r="F228" i="4"/>
  <c r="H224" i="4"/>
  <c r="G224" i="4"/>
  <c r="F224" i="4"/>
  <c r="D224" i="4"/>
  <c r="C224" i="4"/>
  <c r="B224" i="4"/>
  <c r="H223" i="4"/>
  <c r="G223" i="4"/>
  <c r="F223" i="4"/>
  <c r="D223" i="4"/>
  <c r="C223" i="4"/>
  <c r="B223" i="4"/>
  <c r="H222" i="4"/>
  <c r="G222" i="4"/>
  <c r="F222" i="4"/>
  <c r="D222" i="4"/>
  <c r="C222" i="4"/>
  <c r="B222" i="4"/>
  <c r="H221" i="4"/>
  <c r="G221" i="4"/>
  <c r="F221" i="4"/>
  <c r="D221" i="4"/>
  <c r="C221" i="4"/>
  <c r="B221" i="4"/>
  <c r="H220" i="4"/>
  <c r="G220" i="4"/>
  <c r="F220" i="4"/>
  <c r="D220" i="4"/>
  <c r="C220" i="4"/>
  <c r="B220" i="4"/>
  <c r="H219" i="4"/>
  <c r="G219" i="4"/>
  <c r="F219" i="4"/>
  <c r="D219" i="4"/>
  <c r="C219" i="4"/>
  <c r="B219" i="4"/>
  <c r="H218" i="4"/>
  <c r="G218" i="4"/>
  <c r="F218" i="4"/>
  <c r="D218" i="4"/>
  <c r="C218" i="4"/>
  <c r="B218" i="4"/>
  <c r="H217" i="4"/>
  <c r="G217" i="4"/>
  <c r="F217" i="4"/>
  <c r="D217" i="4"/>
  <c r="C217" i="4"/>
  <c r="B217" i="4"/>
  <c r="H216" i="4"/>
  <c r="G216" i="4"/>
  <c r="F216" i="4"/>
  <c r="D216" i="4"/>
  <c r="C216" i="4"/>
  <c r="B216" i="4"/>
  <c r="H215" i="4"/>
  <c r="G215" i="4"/>
  <c r="F215" i="4"/>
  <c r="D215" i="4"/>
  <c r="C215" i="4"/>
  <c r="B215" i="4"/>
  <c r="H214" i="4"/>
  <c r="G214" i="4"/>
  <c r="F214" i="4"/>
  <c r="D214" i="4"/>
  <c r="C214" i="4"/>
  <c r="B214" i="4"/>
  <c r="H213" i="4"/>
  <c r="G213" i="4"/>
  <c r="F213" i="4"/>
  <c r="D213" i="4"/>
  <c r="C213" i="4"/>
  <c r="B213" i="4"/>
  <c r="H212" i="4"/>
  <c r="G212" i="4"/>
  <c r="F212" i="4"/>
  <c r="D212" i="4"/>
  <c r="C212" i="4"/>
  <c r="B212" i="4"/>
  <c r="H211" i="4"/>
  <c r="G211" i="4"/>
  <c r="F211" i="4"/>
  <c r="D211" i="4"/>
  <c r="C211" i="4"/>
  <c r="B211" i="4"/>
  <c r="H210" i="4"/>
  <c r="G210" i="4"/>
  <c r="F210" i="4"/>
  <c r="D210" i="4"/>
  <c r="C210" i="4"/>
  <c r="B210" i="4"/>
  <c r="H209" i="4"/>
  <c r="G209" i="4"/>
  <c r="F209" i="4"/>
  <c r="D209" i="4"/>
  <c r="C209" i="4"/>
  <c r="B209" i="4"/>
  <c r="F207" i="4"/>
  <c r="B207" i="4"/>
  <c r="H199" i="4"/>
  <c r="G199" i="4"/>
  <c r="F199" i="4"/>
  <c r="D199" i="4"/>
  <c r="C199" i="4"/>
  <c r="B199" i="4"/>
  <c r="H198" i="4"/>
  <c r="G198" i="4"/>
  <c r="F198" i="4"/>
  <c r="D198" i="4"/>
  <c r="C198" i="4"/>
  <c r="B198" i="4"/>
  <c r="H197" i="4"/>
  <c r="G197" i="4"/>
  <c r="F197" i="4"/>
  <c r="D197" i="4"/>
  <c r="C197" i="4"/>
  <c r="B197" i="4"/>
  <c r="H196" i="4"/>
  <c r="G196" i="4"/>
  <c r="F196" i="4"/>
  <c r="D196" i="4"/>
  <c r="C196" i="4"/>
  <c r="B196" i="4"/>
  <c r="H195" i="4"/>
  <c r="G195" i="4"/>
  <c r="F195" i="4"/>
  <c r="D195" i="4"/>
  <c r="C195" i="4"/>
  <c r="B195" i="4"/>
  <c r="H194" i="4"/>
  <c r="G194" i="4"/>
  <c r="F194" i="4"/>
  <c r="D194" i="4"/>
  <c r="C194" i="4"/>
  <c r="B194" i="4"/>
  <c r="H193" i="4"/>
  <c r="G193" i="4"/>
  <c r="F193" i="4"/>
  <c r="D193" i="4"/>
  <c r="C193" i="4"/>
  <c r="B193" i="4"/>
  <c r="H192" i="4"/>
  <c r="G192" i="4"/>
  <c r="F192" i="4"/>
  <c r="D192" i="4"/>
  <c r="C192" i="4"/>
  <c r="B192" i="4"/>
  <c r="H191" i="4"/>
  <c r="G191" i="4"/>
  <c r="F191" i="4"/>
  <c r="D191" i="4"/>
  <c r="C191" i="4"/>
  <c r="B191" i="4"/>
  <c r="H190" i="4"/>
  <c r="G190" i="4"/>
  <c r="F190" i="4"/>
  <c r="D190" i="4"/>
  <c r="C190" i="4"/>
  <c r="B190" i="4"/>
  <c r="H189" i="4"/>
  <c r="G189" i="4"/>
  <c r="F189" i="4"/>
  <c r="D189" i="4"/>
  <c r="C189" i="4"/>
  <c r="B189" i="4"/>
  <c r="H188" i="4"/>
  <c r="G188" i="4"/>
  <c r="F188" i="4"/>
  <c r="D188" i="4"/>
  <c r="C188" i="4"/>
  <c r="B188" i="4"/>
  <c r="H187" i="4"/>
  <c r="G187" i="4"/>
  <c r="F187" i="4"/>
  <c r="D187" i="4"/>
  <c r="C187" i="4"/>
  <c r="B187" i="4"/>
  <c r="H186" i="4"/>
  <c r="G186" i="4"/>
  <c r="F186" i="4"/>
  <c r="D186" i="4"/>
  <c r="C186" i="4"/>
  <c r="B186" i="4"/>
  <c r="H185" i="4"/>
  <c r="G185" i="4"/>
  <c r="F185" i="4"/>
  <c r="D185" i="4"/>
  <c r="C185" i="4"/>
  <c r="B185" i="4"/>
  <c r="H184" i="4"/>
  <c r="G184" i="4"/>
  <c r="F184" i="4"/>
  <c r="D184" i="4"/>
  <c r="C184" i="4"/>
  <c r="B184" i="4"/>
  <c r="F182" i="4"/>
  <c r="B182" i="4"/>
  <c r="H174" i="4"/>
  <c r="G174" i="4"/>
  <c r="F174" i="4"/>
  <c r="D174" i="4"/>
  <c r="C174" i="4"/>
  <c r="B174" i="4"/>
  <c r="H173" i="4"/>
  <c r="G173" i="4"/>
  <c r="F173" i="4"/>
  <c r="D173" i="4"/>
  <c r="C173" i="4"/>
  <c r="B173" i="4"/>
  <c r="H172" i="4"/>
  <c r="G172" i="4"/>
  <c r="F172" i="4"/>
  <c r="D172" i="4"/>
  <c r="C172" i="4"/>
  <c r="B172" i="4"/>
  <c r="H171" i="4"/>
  <c r="G171" i="4"/>
  <c r="F171" i="4"/>
  <c r="D171" i="4"/>
  <c r="C171" i="4"/>
  <c r="B171" i="4"/>
  <c r="H170" i="4"/>
  <c r="G170" i="4"/>
  <c r="F170" i="4"/>
  <c r="D170" i="4"/>
  <c r="C170" i="4"/>
  <c r="B170" i="4"/>
  <c r="H169" i="4"/>
  <c r="G169" i="4"/>
  <c r="F169" i="4"/>
  <c r="D169" i="4"/>
  <c r="C169" i="4"/>
  <c r="B169" i="4"/>
  <c r="H168" i="4"/>
  <c r="G168" i="4"/>
  <c r="F168" i="4"/>
  <c r="D168" i="4"/>
  <c r="C168" i="4"/>
  <c r="B168" i="4"/>
  <c r="H167" i="4"/>
  <c r="G167" i="4"/>
  <c r="F167" i="4"/>
  <c r="D167" i="4"/>
  <c r="C167" i="4"/>
  <c r="B167" i="4"/>
  <c r="H166" i="4"/>
  <c r="G166" i="4"/>
  <c r="F166" i="4"/>
  <c r="D166" i="4"/>
  <c r="C166" i="4"/>
  <c r="B166" i="4"/>
  <c r="H165" i="4"/>
  <c r="G165" i="4"/>
  <c r="F165" i="4"/>
  <c r="D165" i="4"/>
  <c r="C165" i="4"/>
  <c r="B165" i="4"/>
  <c r="H164" i="4"/>
  <c r="G164" i="4"/>
  <c r="F164" i="4"/>
  <c r="D164" i="4"/>
  <c r="C164" i="4"/>
  <c r="B164" i="4"/>
  <c r="H163" i="4"/>
  <c r="G163" i="4"/>
  <c r="F163" i="4"/>
  <c r="D163" i="4"/>
  <c r="C163" i="4"/>
  <c r="B163" i="4"/>
  <c r="H162" i="4"/>
  <c r="G162" i="4"/>
  <c r="F162" i="4"/>
  <c r="D162" i="4"/>
  <c r="C162" i="4"/>
  <c r="B162" i="4"/>
  <c r="H161" i="4"/>
  <c r="G161" i="4"/>
  <c r="F161" i="4"/>
  <c r="D161" i="4"/>
  <c r="C161" i="4"/>
  <c r="B161" i="4"/>
  <c r="H160" i="4"/>
  <c r="G160" i="4"/>
  <c r="F160" i="4"/>
  <c r="D160" i="4"/>
  <c r="C160" i="4"/>
  <c r="B160" i="4"/>
  <c r="H159" i="4"/>
  <c r="G159" i="4"/>
  <c r="F159" i="4"/>
  <c r="D159" i="4"/>
  <c r="C159" i="4"/>
  <c r="B159" i="4"/>
  <c r="F157" i="4"/>
  <c r="B157" i="4"/>
  <c r="B154" i="4"/>
  <c r="B153" i="4"/>
  <c r="B152" i="4"/>
  <c r="H149" i="4"/>
  <c r="G149" i="4"/>
  <c r="F149" i="4"/>
  <c r="D149" i="4"/>
  <c r="C149" i="4"/>
  <c r="B149" i="4"/>
  <c r="H148" i="4"/>
  <c r="G148" i="4"/>
  <c r="F148" i="4"/>
  <c r="D148" i="4"/>
  <c r="C148" i="4"/>
  <c r="B148" i="4"/>
  <c r="H147" i="4"/>
  <c r="G147" i="4"/>
  <c r="F147" i="4"/>
  <c r="D147" i="4"/>
  <c r="C147" i="4"/>
  <c r="B147" i="4"/>
  <c r="H146" i="4"/>
  <c r="G146" i="4"/>
  <c r="F146" i="4"/>
  <c r="D146" i="4"/>
  <c r="C146" i="4"/>
  <c r="B146" i="4"/>
  <c r="H145" i="4"/>
  <c r="G145" i="4"/>
  <c r="F145" i="4"/>
  <c r="D145" i="4"/>
  <c r="C145" i="4"/>
  <c r="B145" i="4"/>
  <c r="H144" i="4"/>
  <c r="G144" i="4"/>
  <c r="F144" i="4"/>
  <c r="D144" i="4"/>
  <c r="C144" i="4"/>
  <c r="B144" i="4"/>
  <c r="H143" i="4"/>
  <c r="G143" i="4"/>
  <c r="F143" i="4"/>
  <c r="D143" i="4"/>
  <c r="C143" i="4"/>
  <c r="B143" i="4"/>
  <c r="H142" i="4"/>
  <c r="G142" i="4"/>
  <c r="F142" i="4"/>
  <c r="D142" i="4"/>
  <c r="C142" i="4"/>
  <c r="B142" i="4"/>
  <c r="H141" i="4"/>
  <c r="G141" i="4"/>
  <c r="F141" i="4"/>
  <c r="D141" i="4"/>
  <c r="C141" i="4"/>
  <c r="B141" i="4"/>
  <c r="H140" i="4"/>
  <c r="G140" i="4"/>
  <c r="F140" i="4"/>
  <c r="D140" i="4"/>
  <c r="C140" i="4"/>
  <c r="B140" i="4"/>
  <c r="H139" i="4"/>
  <c r="G139" i="4"/>
  <c r="F139" i="4"/>
  <c r="D139" i="4"/>
  <c r="C139" i="4"/>
  <c r="B139" i="4"/>
  <c r="H138" i="4"/>
  <c r="G138" i="4"/>
  <c r="F138" i="4"/>
  <c r="D138" i="4"/>
  <c r="C138" i="4"/>
  <c r="B138" i="4"/>
  <c r="H137" i="4"/>
  <c r="G137" i="4"/>
  <c r="F137" i="4"/>
  <c r="D137" i="4"/>
  <c r="C137" i="4"/>
  <c r="B137" i="4"/>
  <c r="H136" i="4"/>
  <c r="G136" i="4"/>
  <c r="F136" i="4"/>
  <c r="D136" i="4"/>
  <c r="C136" i="4"/>
  <c r="B136" i="4"/>
  <c r="H135" i="4"/>
  <c r="G135" i="4"/>
  <c r="F135" i="4"/>
  <c r="D135" i="4"/>
  <c r="C135" i="4"/>
  <c r="B135" i="4"/>
  <c r="H134" i="4"/>
  <c r="G134" i="4"/>
  <c r="F134" i="4"/>
  <c r="D134" i="4"/>
  <c r="C134" i="4"/>
  <c r="B134" i="4"/>
  <c r="F132" i="4"/>
  <c r="B132" i="4"/>
  <c r="F129" i="4"/>
  <c r="B129" i="4"/>
  <c r="F128" i="4"/>
  <c r="B128" i="4"/>
  <c r="F127" i="4"/>
  <c r="B127" i="4"/>
  <c r="H124" i="4"/>
  <c r="G124" i="4"/>
  <c r="F124" i="4"/>
  <c r="D124" i="4"/>
  <c r="C124" i="4"/>
  <c r="B124" i="4"/>
  <c r="H123" i="4"/>
  <c r="G123" i="4"/>
  <c r="F123" i="4"/>
  <c r="D123" i="4"/>
  <c r="C123" i="4"/>
  <c r="B123" i="4"/>
  <c r="H122" i="4"/>
  <c r="G122" i="4"/>
  <c r="F122" i="4"/>
  <c r="D122" i="4"/>
  <c r="C122" i="4"/>
  <c r="B122" i="4"/>
  <c r="H121" i="4"/>
  <c r="G121" i="4"/>
  <c r="F121" i="4"/>
  <c r="D121" i="4"/>
  <c r="C121" i="4"/>
  <c r="B121" i="4"/>
  <c r="H120" i="4"/>
  <c r="G120" i="4"/>
  <c r="F120" i="4"/>
  <c r="D120" i="4"/>
  <c r="C120" i="4"/>
  <c r="B120" i="4"/>
  <c r="H119" i="4"/>
  <c r="G119" i="4"/>
  <c r="F119" i="4"/>
  <c r="D119" i="4"/>
  <c r="C119" i="4"/>
  <c r="B119" i="4"/>
  <c r="H118" i="4"/>
  <c r="G118" i="4"/>
  <c r="F118" i="4"/>
  <c r="D118" i="4"/>
  <c r="C118" i="4"/>
  <c r="B118" i="4"/>
  <c r="H117" i="4"/>
  <c r="G117" i="4"/>
  <c r="F117" i="4"/>
  <c r="D117" i="4"/>
  <c r="C117" i="4"/>
  <c r="B117" i="4"/>
  <c r="H116" i="4"/>
  <c r="G116" i="4"/>
  <c r="F116" i="4"/>
  <c r="D116" i="4"/>
  <c r="C116" i="4"/>
  <c r="B116" i="4"/>
  <c r="H115" i="4"/>
  <c r="G115" i="4"/>
  <c r="F115" i="4"/>
  <c r="D115" i="4"/>
  <c r="C115" i="4"/>
  <c r="B115" i="4"/>
  <c r="H114" i="4"/>
  <c r="G114" i="4"/>
  <c r="F114" i="4"/>
  <c r="D114" i="4"/>
  <c r="C114" i="4"/>
  <c r="B114" i="4"/>
  <c r="H113" i="4"/>
  <c r="G113" i="4"/>
  <c r="F113" i="4"/>
  <c r="D113" i="4"/>
  <c r="C113" i="4"/>
  <c r="B113" i="4"/>
  <c r="H112" i="4"/>
  <c r="G112" i="4"/>
  <c r="F112" i="4"/>
  <c r="D112" i="4"/>
  <c r="C112" i="4"/>
  <c r="B112" i="4"/>
  <c r="H111" i="4"/>
  <c r="G111" i="4"/>
  <c r="F111" i="4"/>
  <c r="D111" i="4"/>
  <c r="C111" i="4"/>
  <c r="B111" i="4"/>
  <c r="H110" i="4"/>
  <c r="G110" i="4"/>
  <c r="F110" i="4"/>
  <c r="D110" i="4"/>
  <c r="C110" i="4"/>
  <c r="B110" i="4"/>
  <c r="H109" i="4"/>
  <c r="G109" i="4"/>
  <c r="F109" i="4"/>
  <c r="D109" i="4"/>
  <c r="C109" i="4"/>
  <c r="B109" i="4"/>
  <c r="F107" i="4"/>
  <c r="B107" i="4"/>
  <c r="F104" i="4"/>
  <c r="B104" i="4"/>
  <c r="F103" i="4"/>
  <c r="B103" i="4"/>
  <c r="F102" i="4"/>
  <c r="B102" i="4"/>
  <c r="H99" i="4"/>
  <c r="G99" i="4"/>
  <c r="F99" i="4"/>
  <c r="D99" i="4"/>
  <c r="C99" i="4"/>
  <c r="B99" i="4"/>
  <c r="H98" i="4"/>
  <c r="G98" i="4"/>
  <c r="F98" i="4"/>
  <c r="D98" i="4"/>
  <c r="C98" i="4"/>
  <c r="B98" i="4"/>
  <c r="H97" i="4"/>
  <c r="G97" i="4"/>
  <c r="F97" i="4"/>
  <c r="D97" i="4"/>
  <c r="C97" i="4"/>
  <c r="B97" i="4"/>
  <c r="H96" i="4"/>
  <c r="G96" i="4"/>
  <c r="F96" i="4"/>
  <c r="D96" i="4"/>
  <c r="C96" i="4"/>
  <c r="B96" i="4"/>
  <c r="H95" i="4"/>
  <c r="G95" i="4"/>
  <c r="F95" i="4"/>
  <c r="D95" i="4"/>
  <c r="C95" i="4"/>
  <c r="B95" i="4"/>
  <c r="H94" i="4"/>
  <c r="G94" i="4"/>
  <c r="F94" i="4"/>
  <c r="D94" i="4"/>
  <c r="C94" i="4"/>
  <c r="B94" i="4"/>
  <c r="H93" i="4"/>
  <c r="G93" i="4"/>
  <c r="F93" i="4"/>
  <c r="D93" i="4"/>
  <c r="C93" i="4"/>
  <c r="B93" i="4"/>
  <c r="H92" i="4"/>
  <c r="G92" i="4"/>
  <c r="F92" i="4"/>
  <c r="D92" i="4"/>
  <c r="C92" i="4"/>
  <c r="B92" i="4"/>
  <c r="H91" i="4"/>
  <c r="G91" i="4"/>
  <c r="F91" i="4"/>
  <c r="D91" i="4"/>
  <c r="C91" i="4"/>
  <c r="B91" i="4"/>
  <c r="H90" i="4"/>
  <c r="G90" i="4"/>
  <c r="F90" i="4"/>
  <c r="D90" i="4"/>
  <c r="C90" i="4"/>
  <c r="B90" i="4"/>
  <c r="H89" i="4"/>
  <c r="G89" i="4"/>
  <c r="F89" i="4"/>
  <c r="D89" i="4"/>
  <c r="C89" i="4"/>
  <c r="B89" i="4"/>
  <c r="H88" i="4"/>
  <c r="G88" i="4"/>
  <c r="F88" i="4"/>
  <c r="D88" i="4"/>
  <c r="C88" i="4"/>
  <c r="B88" i="4"/>
  <c r="H87" i="4"/>
  <c r="G87" i="4"/>
  <c r="F87" i="4"/>
  <c r="D87" i="4"/>
  <c r="C87" i="4"/>
  <c r="B87" i="4"/>
  <c r="H86" i="4"/>
  <c r="G86" i="4"/>
  <c r="F86" i="4"/>
  <c r="D86" i="4"/>
  <c r="C86" i="4"/>
  <c r="B86" i="4"/>
  <c r="H85" i="4"/>
  <c r="G85" i="4"/>
  <c r="F85" i="4"/>
  <c r="D85" i="4"/>
  <c r="C85" i="4"/>
  <c r="B85" i="4"/>
  <c r="H84" i="4"/>
  <c r="G84" i="4"/>
  <c r="F84" i="4"/>
  <c r="D84" i="4"/>
  <c r="C84" i="4"/>
  <c r="B84" i="4"/>
  <c r="F82" i="4"/>
  <c r="B82" i="4"/>
  <c r="F79" i="4"/>
  <c r="B79" i="4"/>
  <c r="F78" i="4"/>
  <c r="B78" i="4"/>
  <c r="F77" i="4"/>
  <c r="B77" i="4"/>
  <c r="H74" i="4"/>
  <c r="G74" i="4"/>
  <c r="F74" i="4"/>
  <c r="D74" i="4"/>
  <c r="C74" i="4"/>
  <c r="B74" i="4"/>
  <c r="H73" i="4"/>
  <c r="G73" i="4"/>
  <c r="F73" i="4"/>
  <c r="D73" i="4"/>
  <c r="C73" i="4"/>
  <c r="B73" i="4"/>
  <c r="H72" i="4"/>
  <c r="G72" i="4"/>
  <c r="F72" i="4"/>
  <c r="D72" i="4"/>
  <c r="C72" i="4"/>
  <c r="B72" i="4"/>
  <c r="H71" i="4"/>
  <c r="G71" i="4"/>
  <c r="F71" i="4"/>
  <c r="D71" i="4"/>
  <c r="C71" i="4"/>
  <c r="B71" i="4"/>
  <c r="H70" i="4"/>
  <c r="G70" i="4"/>
  <c r="F70" i="4"/>
  <c r="D70" i="4"/>
  <c r="C70" i="4"/>
  <c r="B70" i="4"/>
  <c r="H69" i="4"/>
  <c r="G69" i="4"/>
  <c r="F69" i="4"/>
  <c r="D69" i="4"/>
  <c r="C69" i="4"/>
  <c r="B69" i="4"/>
  <c r="H68" i="4"/>
  <c r="G68" i="4"/>
  <c r="F68" i="4"/>
  <c r="D68" i="4"/>
  <c r="C68" i="4"/>
  <c r="B68" i="4"/>
  <c r="H67" i="4"/>
  <c r="G67" i="4"/>
  <c r="F67" i="4"/>
  <c r="D67" i="4"/>
  <c r="C67" i="4"/>
  <c r="B67" i="4"/>
  <c r="H66" i="4"/>
  <c r="G66" i="4"/>
  <c r="F66" i="4"/>
  <c r="D66" i="4"/>
  <c r="C66" i="4"/>
  <c r="B66" i="4"/>
  <c r="H65" i="4"/>
  <c r="G65" i="4"/>
  <c r="F65" i="4"/>
  <c r="D65" i="4"/>
  <c r="C65" i="4"/>
  <c r="B65" i="4"/>
  <c r="H64" i="4"/>
  <c r="G64" i="4"/>
  <c r="F64" i="4"/>
  <c r="D64" i="4"/>
  <c r="C64" i="4"/>
  <c r="B64" i="4"/>
  <c r="H63" i="4"/>
  <c r="G63" i="4"/>
  <c r="F63" i="4"/>
  <c r="D63" i="4"/>
  <c r="C63" i="4"/>
  <c r="B63" i="4"/>
  <c r="H62" i="4"/>
  <c r="G62" i="4"/>
  <c r="F62" i="4"/>
  <c r="D62" i="4"/>
  <c r="C62" i="4"/>
  <c r="B62" i="4"/>
  <c r="H61" i="4"/>
  <c r="G61" i="4"/>
  <c r="F61" i="4"/>
  <c r="D61" i="4"/>
  <c r="C61" i="4"/>
  <c r="B61" i="4"/>
  <c r="H60" i="4"/>
  <c r="G60" i="4"/>
  <c r="F60" i="4"/>
  <c r="D60" i="4"/>
  <c r="C60" i="4"/>
  <c r="B60" i="4"/>
  <c r="H59" i="4"/>
  <c r="G59" i="4"/>
  <c r="F59" i="4"/>
  <c r="D59" i="4"/>
  <c r="C59" i="4"/>
  <c r="B59" i="4"/>
  <c r="F57" i="4"/>
  <c r="B57" i="4"/>
  <c r="B54" i="4"/>
  <c r="B53" i="4"/>
  <c r="B52" i="4"/>
  <c r="H49" i="4"/>
  <c r="G49" i="4"/>
  <c r="F49" i="4"/>
  <c r="D49" i="4"/>
  <c r="C49" i="4"/>
  <c r="B49" i="4"/>
  <c r="H48" i="4"/>
  <c r="G48" i="4"/>
  <c r="F48" i="4"/>
  <c r="D48" i="4"/>
  <c r="C48" i="4"/>
  <c r="B48" i="4"/>
  <c r="H47" i="4"/>
  <c r="G47" i="4"/>
  <c r="F47" i="4"/>
  <c r="D47" i="4"/>
  <c r="C47" i="4"/>
  <c r="B47" i="4"/>
  <c r="H46" i="4"/>
  <c r="G46" i="4"/>
  <c r="F46" i="4"/>
  <c r="D46" i="4"/>
  <c r="C46" i="4"/>
  <c r="B46" i="4"/>
  <c r="H45" i="4"/>
  <c r="G45" i="4"/>
  <c r="F45" i="4"/>
  <c r="D45" i="4"/>
  <c r="C45" i="4"/>
  <c r="B45" i="4"/>
  <c r="H44" i="4"/>
  <c r="G44" i="4"/>
  <c r="F44" i="4"/>
  <c r="D44" i="4"/>
  <c r="C44" i="4"/>
  <c r="B44" i="4"/>
  <c r="H43" i="4"/>
  <c r="G43" i="4"/>
  <c r="F43" i="4"/>
  <c r="D43" i="4"/>
  <c r="C43" i="4"/>
  <c r="B43" i="4"/>
  <c r="H42" i="4"/>
  <c r="G42" i="4"/>
  <c r="F42" i="4"/>
  <c r="D42" i="4"/>
  <c r="C42" i="4"/>
  <c r="B42" i="4"/>
  <c r="H41" i="4"/>
  <c r="G41" i="4"/>
  <c r="F41" i="4"/>
  <c r="D41" i="4"/>
  <c r="C41" i="4"/>
  <c r="B41" i="4"/>
  <c r="H40" i="4"/>
  <c r="G40" i="4"/>
  <c r="F40" i="4"/>
  <c r="D40" i="4"/>
  <c r="C40" i="4"/>
  <c r="B40" i="4"/>
  <c r="H39" i="4"/>
  <c r="G39" i="4"/>
  <c r="F39" i="4"/>
  <c r="D39" i="4"/>
  <c r="C39" i="4"/>
  <c r="B39" i="4"/>
  <c r="H38" i="4"/>
  <c r="G38" i="4"/>
  <c r="F38" i="4"/>
  <c r="D38" i="4"/>
  <c r="C38" i="4"/>
  <c r="B38" i="4"/>
  <c r="H37" i="4"/>
  <c r="G37" i="4"/>
  <c r="F37" i="4"/>
  <c r="D37" i="4"/>
  <c r="C37" i="4"/>
  <c r="B37" i="4"/>
  <c r="H36" i="4"/>
  <c r="G36" i="4"/>
  <c r="F36" i="4"/>
  <c r="D36" i="4"/>
  <c r="C36" i="4"/>
  <c r="B36" i="4"/>
  <c r="H35" i="4"/>
  <c r="G35" i="4"/>
  <c r="F35" i="4"/>
  <c r="D35" i="4"/>
  <c r="C35" i="4"/>
  <c r="B35" i="4"/>
  <c r="H34" i="4"/>
  <c r="G34" i="4"/>
  <c r="F34" i="4"/>
  <c r="D34" i="4"/>
  <c r="C34" i="4"/>
  <c r="B34" i="4"/>
  <c r="F32" i="4"/>
  <c r="B32" i="4"/>
  <c r="B29" i="4"/>
  <c r="B28" i="4"/>
  <c r="B27" i="4"/>
  <c r="H24" i="4"/>
  <c r="G24" i="4"/>
  <c r="F24" i="4"/>
  <c r="D24" i="4"/>
  <c r="C24" i="4"/>
  <c r="B24" i="4"/>
  <c r="H23" i="4"/>
  <c r="G23" i="4"/>
  <c r="F23" i="4"/>
  <c r="D23" i="4"/>
  <c r="C23" i="4"/>
  <c r="B23" i="4"/>
  <c r="H22" i="4"/>
  <c r="G22" i="4"/>
  <c r="F22" i="4"/>
  <c r="D22" i="4"/>
  <c r="C22" i="4"/>
  <c r="B22" i="4"/>
  <c r="H21" i="4"/>
  <c r="G21" i="4"/>
  <c r="F21" i="4"/>
  <c r="D21" i="4"/>
  <c r="C21" i="4"/>
  <c r="B21" i="4"/>
  <c r="H20" i="4"/>
  <c r="G20" i="4"/>
  <c r="F20" i="4"/>
  <c r="D20" i="4"/>
  <c r="C20" i="4"/>
  <c r="B20" i="4"/>
  <c r="H19" i="4"/>
  <c r="G19" i="4"/>
  <c r="F19" i="4"/>
  <c r="D19" i="4"/>
  <c r="C19" i="4"/>
  <c r="B19" i="4"/>
  <c r="H18" i="4"/>
  <c r="G18" i="4"/>
  <c r="F18" i="4"/>
  <c r="D18" i="4"/>
  <c r="C18" i="4"/>
  <c r="B18" i="4"/>
  <c r="H17" i="4"/>
  <c r="G17" i="4"/>
  <c r="F17" i="4"/>
  <c r="D17" i="4"/>
  <c r="C17" i="4"/>
  <c r="B17" i="4"/>
  <c r="H16" i="4"/>
  <c r="G16" i="4"/>
  <c r="F16" i="4"/>
  <c r="D16" i="4"/>
  <c r="C16" i="4"/>
  <c r="B16" i="4"/>
  <c r="H15" i="4"/>
  <c r="G15" i="4"/>
  <c r="F15" i="4"/>
  <c r="D15" i="4"/>
  <c r="C15" i="4"/>
  <c r="B15" i="4"/>
  <c r="H14" i="4"/>
  <c r="G14" i="4"/>
  <c r="F14" i="4"/>
  <c r="D14" i="4"/>
  <c r="C14" i="4"/>
  <c r="B14" i="4"/>
  <c r="H13" i="4"/>
  <c r="G13" i="4"/>
  <c r="F13" i="4"/>
  <c r="D13" i="4"/>
  <c r="C13" i="4"/>
  <c r="B13" i="4"/>
  <c r="H12" i="4"/>
  <c r="G12" i="4"/>
  <c r="F12" i="4"/>
  <c r="D12" i="4"/>
  <c r="C12" i="4"/>
  <c r="B12" i="4"/>
  <c r="H11" i="4"/>
  <c r="G11" i="4"/>
  <c r="F11" i="4"/>
  <c r="D11" i="4"/>
  <c r="C11" i="4"/>
  <c r="B11" i="4"/>
  <c r="H10" i="4"/>
  <c r="G10" i="4"/>
  <c r="F10" i="4"/>
  <c r="D10" i="4"/>
  <c r="C10" i="4"/>
  <c r="B10" i="4"/>
  <c r="H9" i="4"/>
  <c r="G9" i="4"/>
  <c r="F9" i="4"/>
  <c r="D9" i="4"/>
  <c r="C9" i="4"/>
  <c r="B9" i="4"/>
  <c r="F7" i="4"/>
  <c r="B7" i="4"/>
  <c r="F4" i="4"/>
  <c r="B4" i="4"/>
  <c r="F3" i="4"/>
  <c r="B3" i="4"/>
  <c r="B2" i="4"/>
  <c r="H388" i="5"/>
  <c r="G388" i="5"/>
  <c r="D388" i="5"/>
  <c r="C388" i="5"/>
  <c r="H387" i="5"/>
  <c r="G387" i="5"/>
  <c r="D387" i="5"/>
  <c r="C387" i="5"/>
  <c r="H386" i="5"/>
  <c r="G386" i="5"/>
  <c r="D386" i="5"/>
  <c r="C386" i="5"/>
  <c r="H385" i="5"/>
  <c r="G385" i="5"/>
  <c r="D385" i="5"/>
  <c r="C385" i="5"/>
  <c r="H384" i="5"/>
  <c r="G384" i="5"/>
  <c r="D384" i="5"/>
  <c r="C384" i="5"/>
  <c r="H383" i="5"/>
  <c r="G383" i="5"/>
  <c r="D383" i="5"/>
  <c r="C383" i="5"/>
  <c r="H382" i="5"/>
  <c r="G382" i="5"/>
  <c r="D382" i="5"/>
  <c r="C382" i="5"/>
  <c r="H381" i="5"/>
  <c r="G381" i="5"/>
  <c r="D381" i="5"/>
  <c r="C381" i="5"/>
  <c r="H380" i="5"/>
  <c r="G380" i="5"/>
  <c r="D380" i="5"/>
  <c r="C380" i="5"/>
  <c r="H379" i="5"/>
  <c r="G379" i="5"/>
  <c r="D379" i="5"/>
  <c r="C379" i="5"/>
  <c r="H378" i="5"/>
  <c r="G378" i="5"/>
  <c r="D378" i="5"/>
  <c r="C378" i="5"/>
  <c r="H377" i="5"/>
  <c r="G377" i="5"/>
  <c r="D377" i="5"/>
  <c r="C377" i="5"/>
  <c r="H376" i="5"/>
  <c r="G376" i="5"/>
  <c r="D376" i="5"/>
  <c r="C376" i="5"/>
  <c r="H375" i="5"/>
  <c r="G375" i="5"/>
  <c r="D375" i="5"/>
  <c r="C375" i="5"/>
  <c r="H374" i="5"/>
  <c r="G374" i="5"/>
  <c r="D374" i="5"/>
  <c r="C374" i="5"/>
  <c r="H373" i="5"/>
  <c r="G373" i="5"/>
  <c r="D373" i="5"/>
  <c r="C373" i="5"/>
  <c r="F370" i="5"/>
  <c r="B370" i="5"/>
  <c r="H362" i="5"/>
  <c r="G362" i="5"/>
  <c r="D362" i="5"/>
  <c r="C362" i="5"/>
  <c r="H361" i="5"/>
  <c r="G361" i="5"/>
  <c r="D361" i="5"/>
  <c r="C361" i="5"/>
  <c r="H360" i="5"/>
  <c r="G360" i="5"/>
  <c r="D360" i="5"/>
  <c r="C360" i="5"/>
  <c r="H359" i="5"/>
  <c r="G359" i="5"/>
  <c r="D359" i="5"/>
  <c r="C359" i="5"/>
  <c r="H358" i="5"/>
  <c r="G358" i="5"/>
  <c r="D358" i="5"/>
  <c r="C358" i="5"/>
  <c r="H357" i="5"/>
  <c r="G357" i="5"/>
  <c r="D357" i="5"/>
  <c r="C357" i="5"/>
  <c r="H356" i="5"/>
  <c r="G356" i="5"/>
  <c r="D356" i="5"/>
  <c r="C356" i="5"/>
  <c r="H355" i="5"/>
  <c r="G355" i="5"/>
  <c r="D355" i="5"/>
  <c r="C355" i="5"/>
  <c r="H354" i="5"/>
  <c r="G354" i="5"/>
  <c r="D354" i="5"/>
  <c r="C354" i="5"/>
  <c r="H353" i="5"/>
  <c r="G353" i="5"/>
  <c r="D353" i="5"/>
  <c r="C353" i="5"/>
  <c r="H352" i="5"/>
  <c r="G352" i="5"/>
  <c r="D352" i="5"/>
  <c r="C352" i="5"/>
  <c r="H351" i="5"/>
  <c r="G351" i="5"/>
  <c r="D351" i="5"/>
  <c r="C351" i="5"/>
  <c r="H350" i="5"/>
  <c r="G350" i="5"/>
  <c r="D350" i="5"/>
  <c r="C350" i="5"/>
  <c r="H349" i="5"/>
  <c r="G349" i="5"/>
  <c r="D349" i="5"/>
  <c r="C349" i="5"/>
  <c r="H348" i="5"/>
  <c r="G348" i="5"/>
  <c r="D348" i="5"/>
  <c r="C348" i="5"/>
  <c r="H347" i="5"/>
  <c r="G347" i="5"/>
  <c r="D347" i="5"/>
  <c r="C347" i="5"/>
  <c r="F344" i="5"/>
  <c r="B344" i="5"/>
  <c r="H336" i="5"/>
  <c r="G336" i="5"/>
  <c r="D336" i="5"/>
  <c r="C336" i="5"/>
  <c r="H335" i="5"/>
  <c r="G335" i="5"/>
  <c r="D335" i="5"/>
  <c r="C335" i="5"/>
  <c r="H334" i="5"/>
  <c r="G334" i="5"/>
  <c r="D334" i="5"/>
  <c r="C334" i="5"/>
  <c r="H333" i="5"/>
  <c r="G333" i="5"/>
  <c r="D333" i="5"/>
  <c r="C333" i="5"/>
  <c r="H332" i="5"/>
  <c r="G332" i="5"/>
  <c r="D332" i="5"/>
  <c r="C332" i="5"/>
  <c r="H331" i="5"/>
  <c r="G331" i="5"/>
  <c r="D331" i="5"/>
  <c r="C331" i="5"/>
  <c r="H330" i="5"/>
  <c r="G330" i="5"/>
  <c r="D330" i="5"/>
  <c r="C330" i="5"/>
  <c r="H329" i="5"/>
  <c r="G329" i="5"/>
  <c r="D329" i="5"/>
  <c r="C329" i="5"/>
  <c r="H328" i="5"/>
  <c r="G328" i="5"/>
  <c r="D328" i="5"/>
  <c r="C328" i="5"/>
  <c r="H327" i="5"/>
  <c r="G327" i="5"/>
  <c r="D327" i="5"/>
  <c r="C327" i="5"/>
  <c r="H326" i="5"/>
  <c r="G326" i="5"/>
  <c r="D326" i="5"/>
  <c r="C326" i="5"/>
  <c r="H325" i="5"/>
  <c r="G325" i="5"/>
  <c r="D325" i="5"/>
  <c r="C325" i="5"/>
  <c r="H324" i="5"/>
  <c r="G324" i="5"/>
  <c r="D324" i="5"/>
  <c r="C324" i="5"/>
  <c r="H323" i="5"/>
  <c r="G323" i="5"/>
  <c r="D323" i="5"/>
  <c r="C323" i="5"/>
  <c r="H322" i="5"/>
  <c r="G322" i="5"/>
  <c r="D322" i="5"/>
  <c r="C322" i="5"/>
  <c r="H321" i="5"/>
  <c r="G321" i="5"/>
  <c r="D321" i="5"/>
  <c r="C321" i="5"/>
  <c r="F318" i="5"/>
  <c r="B318" i="5"/>
  <c r="H310" i="5"/>
  <c r="G310" i="5"/>
  <c r="D310" i="5"/>
  <c r="C310" i="5"/>
  <c r="H309" i="5"/>
  <c r="G309" i="5"/>
  <c r="D309" i="5"/>
  <c r="C309" i="5"/>
  <c r="H308" i="5"/>
  <c r="G308" i="5"/>
  <c r="D308" i="5"/>
  <c r="C308" i="5"/>
  <c r="H307" i="5"/>
  <c r="G307" i="5"/>
  <c r="D307" i="5"/>
  <c r="C307" i="5"/>
  <c r="H306" i="5"/>
  <c r="G306" i="5"/>
  <c r="D306" i="5"/>
  <c r="C306" i="5"/>
  <c r="H305" i="5"/>
  <c r="G305" i="5"/>
  <c r="D305" i="5"/>
  <c r="C305" i="5"/>
  <c r="H304" i="5"/>
  <c r="G304" i="5"/>
  <c r="D304" i="5"/>
  <c r="C304" i="5"/>
  <c r="H303" i="5"/>
  <c r="G303" i="5"/>
  <c r="D303" i="5"/>
  <c r="C303" i="5"/>
  <c r="H302" i="5"/>
  <c r="G302" i="5"/>
  <c r="D302" i="5"/>
  <c r="C302" i="5"/>
  <c r="H301" i="5"/>
  <c r="G301" i="5"/>
  <c r="D301" i="5"/>
  <c r="C301" i="5"/>
  <c r="H300" i="5"/>
  <c r="G300" i="5"/>
  <c r="D300" i="5"/>
  <c r="C300" i="5"/>
  <c r="H299" i="5"/>
  <c r="G299" i="5"/>
  <c r="D299" i="5"/>
  <c r="C299" i="5"/>
  <c r="H298" i="5"/>
  <c r="G298" i="5"/>
  <c r="D298" i="5"/>
  <c r="C298" i="5"/>
  <c r="H297" i="5"/>
  <c r="G297" i="5"/>
  <c r="D297" i="5"/>
  <c r="C297" i="5"/>
  <c r="H296" i="5"/>
  <c r="G296" i="5"/>
  <c r="D296" i="5"/>
  <c r="C296" i="5"/>
  <c r="H295" i="5"/>
  <c r="G295" i="5"/>
  <c r="D295" i="5"/>
  <c r="C295" i="5"/>
  <c r="F292" i="5"/>
  <c r="B292" i="5"/>
  <c r="H284" i="5"/>
  <c r="G284" i="5"/>
  <c r="D284" i="5"/>
  <c r="C284" i="5"/>
  <c r="H283" i="5"/>
  <c r="G283" i="5"/>
  <c r="D283" i="5"/>
  <c r="C283" i="5"/>
  <c r="H282" i="5"/>
  <c r="G282" i="5"/>
  <c r="D282" i="5"/>
  <c r="C282" i="5"/>
  <c r="H281" i="5"/>
  <c r="G281" i="5"/>
  <c r="D281" i="5"/>
  <c r="C281" i="5"/>
  <c r="H280" i="5"/>
  <c r="G280" i="5"/>
  <c r="D280" i="5"/>
  <c r="C280" i="5"/>
  <c r="H279" i="5"/>
  <c r="G279" i="5"/>
  <c r="D279" i="5"/>
  <c r="C279" i="5"/>
  <c r="H278" i="5"/>
  <c r="G278" i="5"/>
  <c r="D278" i="5"/>
  <c r="C278" i="5"/>
  <c r="H277" i="5"/>
  <c r="G277" i="5"/>
  <c r="D277" i="5"/>
  <c r="C277" i="5"/>
  <c r="H276" i="5"/>
  <c r="G276" i="5"/>
  <c r="D276" i="5"/>
  <c r="C276" i="5"/>
  <c r="H275" i="5"/>
  <c r="G275" i="5"/>
  <c r="D275" i="5"/>
  <c r="C275" i="5"/>
  <c r="H274" i="5"/>
  <c r="G274" i="5"/>
  <c r="D274" i="5"/>
  <c r="C274" i="5"/>
  <c r="H273" i="5"/>
  <c r="G273" i="5"/>
  <c r="D273" i="5"/>
  <c r="C273" i="5"/>
  <c r="H272" i="5"/>
  <c r="G272" i="5"/>
  <c r="D272" i="5"/>
  <c r="C272" i="5"/>
  <c r="H271" i="5"/>
  <c r="G271" i="5"/>
  <c r="D271" i="5"/>
  <c r="C271" i="5"/>
  <c r="H270" i="5"/>
  <c r="G270" i="5"/>
  <c r="D270" i="5"/>
  <c r="C270" i="5"/>
  <c r="H269" i="5"/>
  <c r="G269" i="5"/>
  <c r="D269" i="5"/>
  <c r="C269" i="5"/>
  <c r="F266" i="5"/>
  <c r="B266" i="5"/>
  <c r="H258" i="5"/>
  <c r="G258" i="5"/>
  <c r="D258" i="5"/>
  <c r="C258" i="5"/>
  <c r="H257" i="5"/>
  <c r="G257" i="5"/>
  <c r="D257" i="5"/>
  <c r="C257" i="5"/>
  <c r="H256" i="5"/>
  <c r="G256" i="5"/>
  <c r="D256" i="5"/>
  <c r="C256" i="5"/>
  <c r="H255" i="5"/>
  <c r="G255" i="5"/>
  <c r="D255" i="5"/>
  <c r="C255" i="5"/>
  <c r="H254" i="5"/>
  <c r="G254" i="5"/>
  <c r="D254" i="5"/>
  <c r="C254" i="5"/>
  <c r="H253" i="5"/>
  <c r="G253" i="5"/>
  <c r="D253" i="5"/>
  <c r="C253" i="5"/>
  <c r="H252" i="5"/>
  <c r="G252" i="5"/>
  <c r="D252" i="5"/>
  <c r="C252" i="5"/>
  <c r="H251" i="5"/>
  <c r="G251" i="5"/>
  <c r="D251" i="5"/>
  <c r="C251" i="5"/>
  <c r="H250" i="5"/>
  <c r="G250" i="5"/>
  <c r="D250" i="5"/>
  <c r="C250" i="5"/>
  <c r="H249" i="5"/>
  <c r="G249" i="5"/>
  <c r="D249" i="5"/>
  <c r="C249" i="5"/>
  <c r="H248" i="5"/>
  <c r="G248" i="5"/>
  <c r="D248" i="5"/>
  <c r="C248" i="5"/>
  <c r="H247" i="5"/>
  <c r="G247" i="5"/>
  <c r="D247" i="5"/>
  <c r="C247" i="5"/>
  <c r="H246" i="5"/>
  <c r="G246" i="5"/>
  <c r="D246" i="5"/>
  <c r="C246" i="5"/>
  <c r="H245" i="5"/>
  <c r="G245" i="5"/>
  <c r="D245" i="5"/>
  <c r="C245" i="5"/>
  <c r="H244" i="5"/>
  <c r="G244" i="5"/>
  <c r="D244" i="5"/>
  <c r="C244" i="5"/>
  <c r="H243" i="5"/>
  <c r="G243" i="5"/>
  <c r="D243" i="5"/>
  <c r="C243" i="5"/>
  <c r="F240" i="5"/>
  <c r="B240" i="5"/>
  <c r="H233" i="5"/>
  <c r="G233" i="5"/>
  <c r="D233" i="5"/>
  <c r="C233" i="5"/>
  <c r="H232" i="5"/>
  <c r="G232" i="5"/>
  <c r="D232" i="5"/>
  <c r="C232" i="5"/>
  <c r="H231" i="5"/>
  <c r="G231" i="5"/>
  <c r="D231" i="5"/>
  <c r="C231" i="5"/>
  <c r="H230" i="5"/>
  <c r="G230" i="5"/>
  <c r="D230" i="5"/>
  <c r="C230" i="5"/>
  <c r="H229" i="5"/>
  <c r="G229" i="5"/>
  <c r="D229" i="5"/>
  <c r="C229" i="5"/>
  <c r="H228" i="5"/>
  <c r="G228" i="5"/>
  <c r="D228" i="5"/>
  <c r="C228" i="5"/>
  <c r="H227" i="5"/>
  <c r="G227" i="5"/>
  <c r="D227" i="5"/>
  <c r="C227" i="5"/>
  <c r="H226" i="5"/>
  <c r="G226" i="5"/>
  <c r="D226" i="5"/>
  <c r="C226" i="5"/>
  <c r="H225" i="5"/>
  <c r="G225" i="5"/>
  <c r="D225" i="5"/>
  <c r="C225" i="5"/>
  <c r="H224" i="5"/>
  <c r="G224" i="5"/>
  <c r="D224" i="5"/>
  <c r="C224" i="5"/>
  <c r="H223" i="5"/>
  <c r="G223" i="5"/>
  <c r="D223" i="5"/>
  <c r="C223" i="5"/>
  <c r="H222" i="5"/>
  <c r="G222" i="5"/>
  <c r="D222" i="5"/>
  <c r="C222" i="5"/>
  <c r="H221" i="5"/>
  <c r="G221" i="5"/>
  <c r="D221" i="5"/>
  <c r="C221" i="5"/>
  <c r="H220" i="5"/>
  <c r="G220" i="5"/>
  <c r="D220" i="5"/>
  <c r="C220" i="5"/>
  <c r="H219" i="5"/>
  <c r="G219" i="5"/>
  <c r="D219" i="5"/>
  <c r="C219" i="5"/>
  <c r="H218" i="5"/>
  <c r="G218" i="5"/>
  <c r="D218" i="5"/>
  <c r="C218" i="5"/>
  <c r="F212" i="5"/>
  <c r="B212" i="5"/>
  <c r="F211" i="5"/>
  <c r="B211" i="5"/>
  <c r="F210" i="5"/>
  <c r="B210" i="5"/>
  <c r="H207" i="5"/>
  <c r="G207" i="5"/>
  <c r="D207" i="5"/>
  <c r="C207" i="5"/>
  <c r="H206" i="5"/>
  <c r="G206" i="5"/>
  <c r="D206" i="5"/>
  <c r="C206" i="5"/>
  <c r="H205" i="5"/>
  <c r="G205" i="5"/>
  <c r="D205" i="5"/>
  <c r="C205" i="5"/>
  <c r="H204" i="5"/>
  <c r="G204" i="5"/>
  <c r="D204" i="5"/>
  <c r="C204" i="5"/>
  <c r="H203" i="5"/>
  <c r="G203" i="5"/>
  <c r="D203" i="5"/>
  <c r="C203" i="5"/>
  <c r="H202" i="5"/>
  <c r="G202" i="5"/>
  <c r="D202" i="5"/>
  <c r="C202" i="5"/>
  <c r="H201" i="5"/>
  <c r="G201" i="5"/>
  <c r="D201" i="5"/>
  <c r="C201" i="5"/>
  <c r="H200" i="5"/>
  <c r="G200" i="5"/>
  <c r="D200" i="5"/>
  <c r="C200" i="5"/>
  <c r="H199" i="5"/>
  <c r="G199" i="5"/>
  <c r="D199" i="5"/>
  <c r="C199" i="5"/>
  <c r="H198" i="5"/>
  <c r="G198" i="5"/>
  <c r="D198" i="5"/>
  <c r="C198" i="5"/>
  <c r="H197" i="5"/>
  <c r="G197" i="5"/>
  <c r="D197" i="5"/>
  <c r="C197" i="5"/>
  <c r="H196" i="5"/>
  <c r="G196" i="5"/>
  <c r="D196" i="5"/>
  <c r="C196" i="5"/>
  <c r="H195" i="5"/>
  <c r="G195" i="5"/>
  <c r="D195" i="5"/>
  <c r="C195" i="5"/>
  <c r="H194" i="5"/>
  <c r="G194" i="5"/>
  <c r="D194" i="5"/>
  <c r="C194" i="5"/>
  <c r="H193" i="5"/>
  <c r="G193" i="5"/>
  <c r="D193" i="5"/>
  <c r="C193" i="5"/>
  <c r="H192" i="5"/>
  <c r="G192" i="5"/>
  <c r="D192" i="5"/>
  <c r="C192" i="5"/>
  <c r="B189" i="5"/>
  <c r="F186" i="5"/>
  <c r="B186" i="5"/>
  <c r="F185" i="5"/>
  <c r="B185" i="5"/>
  <c r="F184" i="5"/>
  <c r="B184" i="5"/>
  <c r="H181" i="5"/>
  <c r="G181" i="5"/>
  <c r="D181" i="5"/>
  <c r="C181" i="5"/>
  <c r="H180" i="5"/>
  <c r="G180" i="5"/>
  <c r="D180" i="5"/>
  <c r="C180" i="5"/>
  <c r="H179" i="5"/>
  <c r="G179" i="5"/>
  <c r="D179" i="5"/>
  <c r="C179" i="5"/>
  <c r="H178" i="5"/>
  <c r="G178" i="5"/>
  <c r="D178" i="5"/>
  <c r="C178" i="5"/>
  <c r="H177" i="5"/>
  <c r="G177" i="5"/>
  <c r="D177" i="5"/>
  <c r="C177" i="5"/>
  <c r="H176" i="5"/>
  <c r="G176" i="5"/>
  <c r="D176" i="5"/>
  <c r="C176" i="5"/>
  <c r="H175" i="5"/>
  <c r="G175" i="5"/>
  <c r="D175" i="5"/>
  <c r="C175" i="5"/>
  <c r="H174" i="5"/>
  <c r="G174" i="5"/>
  <c r="D174" i="5"/>
  <c r="C174" i="5"/>
  <c r="H173" i="5"/>
  <c r="G173" i="5"/>
  <c r="D173" i="5"/>
  <c r="C173" i="5"/>
  <c r="H172" i="5"/>
  <c r="G172" i="5"/>
  <c r="D172" i="5"/>
  <c r="C172" i="5"/>
  <c r="H171" i="5"/>
  <c r="G171" i="5"/>
  <c r="D171" i="5"/>
  <c r="C171" i="5"/>
  <c r="H170" i="5"/>
  <c r="G170" i="5"/>
  <c r="D170" i="5"/>
  <c r="C170" i="5"/>
  <c r="H169" i="5"/>
  <c r="G169" i="5"/>
  <c r="D169" i="5"/>
  <c r="C169" i="5"/>
  <c r="H168" i="5"/>
  <c r="G168" i="5"/>
  <c r="D168" i="5"/>
  <c r="C168" i="5"/>
  <c r="H167" i="5"/>
  <c r="G167" i="5"/>
  <c r="D167" i="5"/>
  <c r="C167" i="5"/>
  <c r="H166" i="5"/>
  <c r="G166" i="5"/>
  <c r="D166" i="5"/>
  <c r="C166" i="5"/>
  <c r="F163" i="5"/>
  <c r="B163" i="5"/>
  <c r="F160" i="5"/>
  <c r="B160" i="5"/>
  <c r="F159" i="5"/>
  <c r="B159" i="5"/>
  <c r="F158" i="5"/>
  <c r="B158" i="5"/>
  <c r="H155" i="5"/>
  <c r="G155" i="5"/>
  <c r="D155" i="5"/>
  <c r="C155" i="5"/>
  <c r="H154" i="5"/>
  <c r="G154" i="5"/>
  <c r="D154" i="5"/>
  <c r="C154" i="5"/>
  <c r="H153" i="5"/>
  <c r="G153" i="5"/>
  <c r="D153" i="5"/>
  <c r="C153" i="5"/>
  <c r="H152" i="5"/>
  <c r="G152" i="5"/>
  <c r="D152" i="5"/>
  <c r="C152" i="5"/>
  <c r="H151" i="5"/>
  <c r="G151" i="5"/>
  <c r="D151" i="5"/>
  <c r="C151" i="5"/>
  <c r="H150" i="5"/>
  <c r="G150" i="5"/>
  <c r="D150" i="5"/>
  <c r="C150" i="5"/>
  <c r="H149" i="5"/>
  <c r="G149" i="5"/>
  <c r="D149" i="5"/>
  <c r="C149" i="5"/>
  <c r="H148" i="5"/>
  <c r="G148" i="5"/>
  <c r="D148" i="5"/>
  <c r="C148" i="5"/>
  <c r="H147" i="5"/>
  <c r="G147" i="5"/>
  <c r="D147" i="5"/>
  <c r="C147" i="5"/>
  <c r="H146" i="5"/>
  <c r="G146" i="5"/>
  <c r="D146" i="5"/>
  <c r="C146" i="5"/>
  <c r="H145" i="5"/>
  <c r="G145" i="5"/>
  <c r="D145" i="5"/>
  <c r="C145" i="5"/>
  <c r="H144" i="5"/>
  <c r="G144" i="5"/>
  <c r="D144" i="5"/>
  <c r="C144" i="5"/>
  <c r="H143" i="5"/>
  <c r="G143" i="5"/>
  <c r="D143" i="5"/>
  <c r="C143" i="5"/>
  <c r="H142" i="5"/>
  <c r="G142" i="5"/>
  <c r="D142" i="5"/>
  <c r="C142" i="5"/>
  <c r="H141" i="5"/>
  <c r="G141" i="5"/>
  <c r="D141" i="5"/>
  <c r="C141" i="5"/>
  <c r="H140" i="5"/>
  <c r="G140" i="5"/>
  <c r="D140" i="5"/>
  <c r="C140" i="5"/>
  <c r="F137" i="5"/>
  <c r="B137" i="5"/>
  <c r="F134" i="5"/>
  <c r="B134" i="5"/>
  <c r="F133" i="5"/>
  <c r="B133" i="5"/>
  <c r="F132" i="5"/>
  <c r="B132" i="5"/>
  <c r="H129" i="5"/>
  <c r="G129" i="5"/>
  <c r="D129" i="5"/>
  <c r="C129" i="5"/>
  <c r="H128" i="5"/>
  <c r="G128" i="5"/>
  <c r="D128" i="5"/>
  <c r="C128" i="5"/>
  <c r="H127" i="5"/>
  <c r="G127" i="5"/>
  <c r="D127" i="5"/>
  <c r="C127" i="5"/>
  <c r="H126" i="5"/>
  <c r="G126" i="5"/>
  <c r="D126" i="5"/>
  <c r="C126" i="5"/>
  <c r="H125" i="5"/>
  <c r="G125" i="5"/>
  <c r="D125" i="5"/>
  <c r="C125" i="5"/>
  <c r="H124" i="5"/>
  <c r="G124" i="5"/>
  <c r="D124" i="5"/>
  <c r="C124" i="5"/>
  <c r="H123" i="5"/>
  <c r="G123" i="5"/>
  <c r="D123" i="5"/>
  <c r="C123" i="5"/>
  <c r="H122" i="5"/>
  <c r="G122" i="5"/>
  <c r="D122" i="5"/>
  <c r="C122" i="5"/>
  <c r="H121" i="5"/>
  <c r="G121" i="5"/>
  <c r="D121" i="5"/>
  <c r="C121" i="5"/>
  <c r="H120" i="5"/>
  <c r="G120" i="5"/>
  <c r="D120" i="5"/>
  <c r="C120" i="5"/>
  <c r="H119" i="5"/>
  <c r="G119" i="5"/>
  <c r="D119" i="5"/>
  <c r="C119" i="5"/>
  <c r="H118" i="5"/>
  <c r="G118" i="5"/>
  <c r="D118" i="5"/>
  <c r="C118" i="5"/>
  <c r="H117" i="5"/>
  <c r="G117" i="5"/>
  <c r="D117" i="5"/>
  <c r="C117" i="5"/>
  <c r="H116" i="5"/>
  <c r="G116" i="5"/>
  <c r="D116" i="5"/>
  <c r="C116" i="5"/>
  <c r="H115" i="5"/>
  <c r="G115" i="5"/>
  <c r="D115" i="5"/>
  <c r="C115" i="5"/>
  <c r="H114" i="5"/>
  <c r="G114" i="5"/>
  <c r="D114" i="5"/>
  <c r="C114" i="5"/>
  <c r="F111" i="5"/>
  <c r="B111" i="5"/>
  <c r="F108" i="5"/>
  <c r="B108" i="5"/>
  <c r="F107" i="5"/>
  <c r="B107" i="5"/>
  <c r="F106" i="5"/>
  <c r="B106" i="5"/>
  <c r="H103" i="5"/>
  <c r="G103" i="5"/>
  <c r="D103" i="5"/>
  <c r="C103" i="5"/>
  <c r="H102" i="5"/>
  <c r="G102" i="5"/>
  <c r="D102" i="5"/>
  <c r="C102" i="5"/>
  <c r="H101" i="5"/>
  <c r="G101" i="5"/>
  <c r="D101" i="5"/>
  <c r="C101" i="5"/>
  <c r="H100" i="5"/>
  <c r="G100" i="5"/>
  <c r="D100" i="5"/>
  <c r="C100" i="5"/>
  <c r="H99" i="5"/>
  <c r="G99" i="5"/>
  <c r="D99" i="5"/>
  <c r="C99" i="5"/>
  <c r="H98" i="5"/>
  <c r="G98" i="5"/>
  <c r="D98" i="5"/>
  <c r="C98" i="5"/>
  <c r="H97" i="5"/>
  <c r="G97" i="5"/>
  <c r="D97" i="5"/>
  <c r="C97" i="5"/>
  <c r="H96" i="5"/>
  <c r="G96" i="5"/>
  <c r="D96" i="5"/>
  <c r="C96" i="5"/>
  <c r="H95" i="5"/>
  <c r="G95" i="5"/>
  <c r="D95" i="5"/>
  <c r="C95" i="5"/>
  <c r="H94" i="5"/>
  <c r="G94" i="5"/>
  <c r="D94" i="5"/>
  <c r="C94" i="5"/>
  <c r="H93" i="5"/>
  <c r="G93" i="5"/>
  <c r="D93" i="5"/>
  <c r="C93" i="5"/>
  <c r="H92" i="5"/>
  <c r="G92" i="5"/>
  <c r="D92" i="5"/>
  <c r="C92" i="5"/>
  <c r="H91" i="5"/>
  <c r="G91" i="5"/>
  <c r="D91" i="5"/>
  <c r="C91" i="5"/>
  <c r="H90" i="5"/>
  <c r="G90" i="5"/>
  <c r="D90" i="5"/>
  <c r="C90" i="5"/>
  <c r="H89" i="5"/>
  <c r="G89" i="5"/>
  <c r="D89" i="5"/>
  <c r="C89" i="5"/>
  <c r="H88" i="5"/>
  <c r="G88" i="5"/>
  <c r="D88" i="5"/>
  <c r="C88" i="5"/>
  <c r="F85" i="5"/>
  <c r="B85" i="5"/>
  <c r="F82" i="5"/>
  <c r="B82" i="5"/>
  <c r="F81" i="5"/>
  <c r="B81" i="5"/>
  <c r="F80" i="5"/>
  <c r="B80" i="5"/>
  <c r="H77" i="5"/>
  <c r="G77" i="5"/>
  <c r="D77" i="5"/>
  <c r="C77" i="5"/>
  <c r="H76" i="5"/>
  <c r="G76" i="5"/>
  <c r="D76" i="5"/>
  <c r="C76" i="5"/>
  <c r="H75" i="5"/>
  <c r="G75" i="5"/>
  <c r="D75" i="5"/>
  <c r="C75" i="5"/>
  <c r="H74" i="5"/>
  <c r="G74" i="5"/>
  <c r="D74" i="5"/>
  <c r="C74" i="5"/>
  <c r="H73" i="5"/>
  <c r="G73" i="5"/>
  <c r="D73" i="5"/>
  <c r="C73" i="5"/>
  <c r="H72" i="5"/>
  <c r="G72" i="5"/>
  <c r="D72" i="5"/>
  <c r="C72" i="5"/>
  <c r="H71" i="5"/>
  <c r="G71" i="5"/>
  <c r="D71" i="5"/>
  <c r="C71" i="5"/>
  <c r="H70" i="5"/>
  <c r="G70" i="5"/>
  <c r="D70" i="5"/>
  <c r="C70" i="5"/>
  <c r="H69" i="5"/>
  <c r="G69" i="5"/>
  <c r="D69" i="5"/>
  <c r="C69" i="5"/>
  <c r="H68" i="5"/>
  <c r="G68" i="5"/>
  <c r="D68" i="5"/>
  <c r="C68" i="5"/>
  <c r="H67" i="5"/>
  <c r="G67" i="5"/>
  <c r="D67" i="5"/>
  <c r="C67" i="5"/>
  <c r="H66" i="5"/>
  <c r="G66" i="5"/>
  <c r="D66" i="5"/>
  <c r="C66" i="5"/>
  <c r="H65" i="5"/>
  <c r="G65" i="5"/>
  <c r="D65" i="5"/>
  <c r="C65" i="5"/>
  <c r="H64" i="5"/>
  <c r="G64" i="5"/>
  <c r="D64" i="5"/>
  <c r="C64" i="5"/>
  <c r="H63" i="5"/>
  <c r="G63" i="5"/>
  <c r="D63" i="5"/>
  <c r="C63" i="5"/>
  <c r="H62" i="5"/>
  <c r="G62" i="5"/>
  <c r="D62" i="5"/>
  <c r="C62" i="5"/>
  <c r="F59" i="5"/>
  <c r="B59" i="5"/>
  <c r="F56" i="5"/>
  <c r="B56" i="5"/>
  <c r="F55" i="5"/>
  <c r="B55" i="5"/>
  <c r="F54" i="5"/>
  <c r="B54" i="5"/>
  <c r="H51" i="5"/>
  <c r="G51" i="5"/>
  <c r="D51" i="5"/>
  <c r="C51" i="5"/>
  <c r="H50" i="5"/>
  <c r="G50" i="5"/>
  <c r="D50" i="5"/>
  <c r="C50" i="5"/>
  <c r="H49" i="5"/>
  <c r="G49" i="5"/>
  <c r="D49" i="5"/>
  <c r="C49" i="5"/>
  <c r="H48" i="5"/>
  <c r="G48" i="5"/>
  <c r="D48" i="5"/>
  <c r="C48" i="5"/>
  <c r="H47" i="5"/>
  <c r="G47" i="5"/>
  <c r="D47" i="5"/>
  <c r="C47" i="5"/>
  <c r="H46" i="5"/>
  <c r="G46" i="5"/>
  <c r="D46" i="5"/>
  <c r="C46" i="5"/>
  <c r="H45" i="5"/>
  <c r="G45" i="5"/>
  <c r="D45" i="5"/>
  <c r="C45" i="5"/>
  <c r="H44" i="5"/>
  <c r="G44" i="5"/>
  <c r="D44" i="5"/>
  <c r="C44" i="5"/>
  <c r="H43" i="5"/>
  <c r="G43" i="5"/>
  <c r="D43" i="5"/>
  <c r="C43" i="5"/>
  <c r="H42" i="5"/>
  <c r="G42" i="5"/>
  <c r="D42" i="5"/>
  <c r="C42" i="5"/>
  <c r="H41" i="5"/>
  <c r="G41" i="5"/>
  <c r="D41" i="5"/>
  <c r="C41" i="5"/>
  <c r="H40" i="5"/>
  <c r="G40" i="5"/>
  <c r="D40" i="5"/>
  <c r="C40" i="5"/>
  <c r="H39" i="5"/>
  <c r="G39" i="5"/>
  <c r="D39" i="5"/>
  <c r="C39" i="5"/>
  <c r="H38" i="5"/>
  <c r="G38" i="5"/>
  <c r="D38" i="5"/>
  <c r="C38" i="5"/>
  <c r="H37" i="5"/>
  <c r="G37" i="5"/>
  <c r="D37" i="5"/>
  <c r="C37" i="5"/>
  <c r="H36" i="5"/>
  <c r="G36" i="5"/>
  <c r="D36" i="5"/>
  <c r="C36" i="5"/>
  <c r="F33" i="5"/>
  <c r="B33" i="5"/>
  <c r="F30" i="5"/>
  <c r="B30" i="5"/>
  <c r="F29" i="5"/>
  <c r="B29" i="5"/>
  <c r="F28" i="5"/>
  <c r="B28" i="5"/>
  <c r="H25" i="5"/>
  <c r="G25" i="5"/>
  <c r="D25" i="5"/>
  <c r="C25" i="5"/>
  <c r="H24" i="5"/>
  <c r="G24" i="5"/>
  <c r="D24" i="5"/>
  <c r="C24" i="5"/>
  <c r="H23" i="5"/>
  <c r="G23" i="5"/>
  <c r="D23" i="5"/>
  <c r="C23" i="5"/>
  <c r="H22" i="5"/>
  <c r="G22" i="5"/>
  <c r="D22" i="5"/>
  <c r="C22" i="5"/>
  <c r="H21" i="5"/>
  <c r="G21" i="5"/>
  <c r="D21" i="5"/>
  <c r="C21" i="5"/>
  <c r="H20" i="5"/>
  <c r="G20" i="5"/>
  <c r="D20" i="5"/>
  <c r="C20" i="5"/>
  <c r="H19" i="5"/>
  <c r="G19" i="5"/>
  <c r="D19" i="5"/>
  <c r="C19" i="5"/>
  <c r="H18" i="5"/>
  <c r="G18" i="5"/>
  <c r="D18" i="5"/>
  <c r="C18" i="5"/>
  <c r="H17" i="5"/>
  <c r="G17" i="5"/>
  <c r="D17" i="5"/>
  <c r="C17" i="5"/>
  <c r="H16" i="5"/>
  <c r="G16" i="5"/>
  <c r="D16" i="5"/>
  <c r="C16" i="5"/>
  <c r="H15" i="5"/>
  <c r="G15" i="5"/>
  <c r="D15" i="5"/>
  <c r="C15" i="5"/>
  <c r="H14" i="5"/>
  <c r="G14" i="5"/>
  <c r="D14" i="5"/>
  <c r="C14" i="5"/>
  <c r="H13" i="5"/>
  <c r="G13" i="5"/>
  <c r="D13" i="5"/>
  <c r="C13" i="5"/>
  <c r="H12" i="5"/>
  <c r="G12" i="5"/>
  <c r="D12" i="5"/>
  <c r="C12" i="5"/>
  <c r="H11" i="5"/>
  <c r="G11" i="5"/>
  <c r="D11" i="5"/>
  <c r="C11" i="5"/>
  <c r="H10" i="5"/>
  <c r="G10" i="5"/>
  <c r="D10" i="5"/>
  <c r="C10" i="5"/>
  <c r="F7" i="5"/>
  <c r="B7" i="5"/>
  <c r="F4" i="5"/>
  <c r="B4" i="5"/>
  <c r="F3" i="5"/>
  <c r="B3" i="5"/>
  <c r="F2" i="5"/>
  <c r="B2" i="5"/>
</calcChain>
</file>

<file path=xl/sharedStrings.xml><?xml version="1.0" encoding="utf-8"?>
<sst xmlns="http://schemas.openxmlformats.org/spreadsheetml/2006/main" count="1413" uniqueCount="711">
  <si>
    <t>Position</t>
  </si>
  <si>
    <t>Zones</t>
  </si>
  <si>
    <t>Description</t>
  </si>
  <si>
    <t xml:space="preserve">Combus </t>
  </si>
  <si>
    <t>Zone No.</t>
  </si>
  <si>
    <t>Combus to MSP</t>
  </si>
  <si>
    <t>North Building - Electrical Closet - Remote Service Panel #4</t>
  </si>
  <si>
    <t>[SCHOOL NAME]</t>
  </si>
  <si>
    <t>[ADDRESS]</t>
  </si>
  <si>
    <t>[CITY, STATE ZIP]</t>
  </si>
  <si>
    <t>XR-550 CONFIGURATION</t>
  </si>
  <si>
    <t>LOCATION</t>
  </si>
  <si>
    <t>POSITION</t>
  </si>
  <si>
    <t>DESCRIPTION</t>
  </si>
  <si>
    <t>AC</t>
  </si>
  <si>
    <t>Battery</t>
  </si>
  <si>
    <t>Bell</t>
  </si>
  <si>
    <t>Keypad Bus</t>
  </si>
  <si>
    <t>Ethernet</t>
  </si>
  <si>
    <t>SMK/GND</t>
  </si>
  <si>
    <t>LX500</t>
  </si>
  <si>
    <t>LX600</t>
  </si>
  <si>
    <t>LX700</t>
  </si>
  <si>
    <t>LX800</t>
  </si>
  <si>
    <t>LX900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</si>
  <si>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</si>
  <si>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</si>
  <si>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</si>
  <si>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</si>
  <si>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</si>
  <si>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</si>
  <si>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</si>
  <si>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</si>
  <si>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</si>
  <si>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</si>
  <si>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710 BUS SPLITTER/REPEATER TOPOLOGY</t>
  </si>
  <si>
    <t>ID</t>
  </si>
  <si>
    <t>SECTION TITLE</t>
  </si>
  <si>
    <t>COMBUS INPUT</t>
  </si>
  <si>
    <t>COMBUS OUTPUT 1</t>
  </si>
  <si>
    <t>COMBUS OUTPUT 2</t>
  </si>
  <si>
    <t>COMBUS OUTPUT 3</t>
  </si>
  <si>
    <t>710-LX500-1</t>
  </si>
  <si>
    <t>710-LX500-2</t>
  </si>
  <si>
    <t>710-LX500-3</t>
  </si>
  <si>
    <t>710-LX500-4</t>
  </si>
  <si>
    <t>710-LX500-5</t>
  </si>
  <si>
    <t>710-LX600-1</t>
  </si>
  <si>
    <t>710-LX600-2</t>
  </si>
  <si>
    <t>710-LX600-3</t>
  </si>
  <si>
    <t>710-LX600-4</t>
  </si>
  <si>
    <t>710-LX600-5</t>
  </si>
  <si>
    <t>710-LX700-1</t>
  </si>
  <si>
    <t>710-LX700-2</t>
  </si>
  <si>
    <t>710-LX700-3</t>
  </si>
  <si>
    <t>710-LX700-4</t>
  </si>
  <si>
    <t>710-LX700-5</t>
  </si>
  <si>
    <t>710-LX800-1</t>
  </si>
  <si>
    <t>710-LX800-2</t>
  </si>
  <si>
    <t>710-LX800-3</t>
  </si>
  <si>
    <t>710-LX800-4</t>
  </si>
  <si>
    <t>710-LX800-5</t>
  </si>
  <si>
    <t>710-LX900-1</t>
  </si>
  <si>
    <t>710-LX900-2</t>
  </si>
  <si>
    <t>710-LX900-3</t>
  </si>
  <si>
    <t>710-LX900-4</t>
  </si>
  <si>
    <t>710-LX900-5</t>
  </si>
  <si>
    <t>710-KP-1</t>
  </si>
  <si>
    <t>710-KP-2</t>
  </si>
  <si>
    <t>710-KP-3</t>
  </si>
  <si>
    <t>710-KP-4</t>
  </si>
  <si>
    <t>710-KP-5</t>
  </si>
  <si>
    <t>710-KP-6</t>
  </si>
  <si>
    <t>710-KP-7</t>
  </si>
  <si>
    <t>710-KP-8</t>
  </si>
  <si>
    <t>710-KP-9</t>
  </si>
  <si>
    <t>710-KP-10</t>
  </si>
  <si>
    <t>ZONE DATA</t>
  </si>
  <si>
    <t>ZONE #</t>
  </si>
  <si>
    <t>ZONE DESCRIPTION</t>
  </si>
  <si>
    <t>RSP/PS LOCATION</t>
  </si>
  <si>
    <t>66 BLOCK LOCATION</t>
  </si>
  <si>
    <t>Z501</t>
  </si>
  <si>
    <t>Z502</t>
  </si>
  <si>
    <t>Z503</t>
  </si>
  <si>
    <t>Z504</t>
  </si>
  <si>
    <t>Z505</t>
  </si>
  <si>
    <t>Z506</t>
  </si>
  <si>
    <t>Z507</t>
  </si>
  <si>
    <t>Z508</t>
  </si>
  <si>
    <t>Z509</t>
  </si>
  <si>
    <t>Z510</t>
  </si>
  <si>
    <t>Z511</t>
  </si>
  <si>
    <t>Z512</t>
  </si>
  <si>
    <t>Z513</t>
  </si>
  <si>
    <t>Z514</t>
  </si>
  <si>
    <t>Z515</t>
  </si>
  <si>
    <t>PS-1: A/C LOSS</t>
  </si>
  <si>
    <t>Z516</t>
  </si>
  <si>
    <t>PS-1: BATT. TRBL.</t>
  </si>
  <si>
    <t>Z517</t>
  </si>
  <si>
    <t>Z518</t>
  </si>
  <si>
    <t>Z519</t>
  </si>
  <si>
    <t>Z520</t>
  </si>
  <si>
    <t>Z521</t>
  </si>
  <si>
    <t>Z522</t>
  </si>
  <si>
    <t>Z523</t>
  </si>
  <si>
    <t>Z524</t>
  </si>
  <si>
    <t>Z525</t>
  </si>
  <si>
    <t>Z526</t>
  </si>
  <si>
    <t>Z527</t>
  </si>
  <si>
    <t>Z528</t>
  </si>
  <si>
    <t>Z529</t>
  </si>
  <si>
    <t>Z530</t>
  </si>
  <si>
    <t>Z531</t>
  </si>
  <si>
    <t>PS-2: A/C LOSS</t>
  </si>
  <si>
    <t>Z532</t>
  </si>
  <si>
    <t>PS-2: BATT. TRBL.</t>
  </si>
  <si>
    <t>Z533</t>
  </si>
  <si>
    <t>Z534</t>
  </si>
  <si>
    <t>Z535</t>
  </si>
  <si>
    <t>Z536</t>
  </si>
  <si>
    <t>Z537</t>
  </si>
  <si>
    <t>Z538</t>
  </si>
  <si>
    <t>Z539</t>
  </si>
  <si>
    <t>Z540</t>
  </si>
  <si>
    <t>Z541</t>
  </si>
  <si>
    <t>Z542</t>
  </si>
  <si>
    <t>Z543</t>
  </si>
  <si>
    <t>Z544</t>
  </si>
  <si>
    <t>Z545</t>
  </si>
  <si>
    <t>Z546</t>
  </si>
  <si>
    <t>Z547</t>
  </si>
  <si>
    <t>PS-3: A/C LOSS</t>
  </si>
  <si>
    <t>Z548</t>
  </si>
  <si>
    <t>PS-3: BATT. TRBL.</t>
  </si>
  <si>
    <t>Z549</t>
  </si>
  <si>
    <t>Z550</t>
  </si>
  <si>
    <t>Z551</t>
  </si>
  <si>
    <t>Z552</t>
  </si>
  <si>
    <t>Z553</t>
  </si>
  <si>
    <t>Z554</t>
  </si>
  <si>
    <t>Z555</t>
  </si>
  <si>
    <t>Z556</t>
  </si>
  <si>
    <t>Z557</t>
  </si>
  <si>
    <t>Z558</t>
  </si>
  <si>
    <t>Z559</t>
  </si>
  <si>
    <t>Z560</t>
  </si>
  <si>
    <t>Z561</t>
  </si>
  <si>
    <t>Z562</t>
  </si>
  <si>
    <t>Z563</t>
  </si>
  <si>
    <t>PS-4: A/C LOSS</t>
  </si>
  <si>
    <t>Z564</t>
  </si>
  <si>
    <t>PS-4: BATT. TRBL.</t>
  </si>
  <si>
    <t>Z565</t>
  </si>
  <si>
    <t>Z566</t>
  </si>
  <si>
    <t>Z567</t>
  </si>
  <si>
    <t>Z568</t>
  </si>
  <si>
    <t>Z569</t>
  </si>
  <si>
    <t>Z570</t>
  </si>
  <si>
    <t>Z571</t>
  </si>
  <si>
    <t>Z572</t>
  </si>
  <si>
    <t>Z573</t>
  </si>
  <si>
    <t>Z574</t>
  </si>
  <si>
    <t>Z575</t>
  </si>
  <si>
    <t>Z576</t>
  </si>
  <si>
    <t>Z577</t>
  </si>
  <si>
    <t>Z578</t>
  </si>
  <si>
    <t>Z579</t>
  </si>
  <si>
    <t>PS-5: A/C LOSS</t>
  </si>
  <si>
    <t>Z580</t>
  </si>
  <si>
    <t>PS-5: BATT. TRBL.</t>
  </si>
  <si>
    <t>Z581</t>
  </si>
  <si>
    <t>Z582</t>
  </si>
  <si>
    <t>Z583</t>
  </si>
  <si>
    <t>Z584</t>
  </si>
  <si>
    <t>Z585</t>
  </si>
  <si>
    <t>Z586</t>
  </si>
  <si>
    <t>Z587</t>
  </si>
  <si>
    <t>Z588</t>
  </si>
  <si>
    <t>Z589</t>
  </si>
  <si>
    <t>Z590</t>
  </si>
  <si>
    <t>Z591</t>
  </si>
  <si>
    <t>Z592</t>
  </si>
  <si>
    <t>Z593</t>
  </si>
  <si>
    <t>Z594</t>
  </si>
  <si>
    <t>Z595</t>
  </si>
  <si>
    <t>PS-6: A/C LOSS</t>
  </si>
  <si>
    <t>Z596</t>
  </si>
  <si>
    <t>PS-6: BATT. TRBL.</t>
  </si>
  <si>
    <t>Z597</t>
  </si>
  <si>
    <t>Z598</t>
  </si>
  <si>
    <t>Z599</t>
  </si>
  <si>
    <t>Z600</t>
  </si>
  <si>
    <t>Z601</t>
  </si>
  <si>
    <t>Z602</t>
  </si>
  <si>
    <t>Z603</t>
  </si>
  <si>
    <t>Z604</t>
  </si>
  <si>
    <t>Z605</t>
  </si>
  <si>
    <t>Z606</t>
  </si>
  <si>
    <t>Z607</t>
  </si>
  <si>
    <t>Z608</t>
  </si>
  <si>
    <t>Z609</t>
  </si>
  <si>
    <t>Z610</t>
  </si>
  <si>
    <t>Z611</t>
  </si>
  <si>
    <t>Z612</t>
  </si>
  <si>
    <t>Z613</t>
  </si>
  <si>
    <t>Z614</t>
  </si>
  <si>
    <t>Z615</t>
  </si>
  <si>
    <t>PS-7: A/C LOSS</t>
  </si>
  <si>
    <t>Z616</t>
  </si>
  <si>
    <t>PS-7: BATT. TRBL.</t>
  </si>
  <si>
    <t>Z617</t>
  </si>
  <si>
    <t>Z618</t>
  </si>
  <si>
    <t>Z619</t>
  </si>
  <si>
    <t>Z620</t>
  </si>
  <si>
    <t>Z621</t>
  </si>
  <si>
    <t>Z622</t>
  </si>
  <si>
    <t>Z623</t>
  </si>
  <si>
    <t>Z624</t>
  </si>
  <si>
    <t>Z625</t>
  </si>
  <si>
    <t>Z626</t>
  </si>
  <si>
    <t>Z627</t>
  </si>
  <si>
    <t>Z628</t>
  </si>
  <si>
    <t>Z629</t>
  </si>
  <si>
    <t>Z630</t>
  </si>
  <si>
    <t>Z631</t>
  </si>
  <si>
    <t>PS-8: A/C LOSS</t>
  </si>
  <si>
    <t>Z632</t>
  </si>
  <si>
    <t>PS-8: BATT. TRBL.</t>
  </si>
  <si>
    <t>Z633</t>
  </si>
  <si>
    <t>Z634</t>
  </si>
  <si>
    <t>Z635</t>
  </si>
  <si>
    <t>Z636</t>
  </si>
  <si>
    <t>Z637</t>
  </si>
  <si>
    <t>Z638</t>
  </si>
  <si>
    <t>Z639</t>
  </si>
  <si>
    <t>Z640</t>
  </si>
  <si>
    <t>Z641</t>
  </si>
  <si>
    <t>Z642</t>
  </si>
  <si>
    <t>Z643</t>
  </si>
  <si>
    <t>Z644</t>
  </si>
  <si>
    <t>Z645</t>
  </si>
  <si>
    <t>Z646</t>
  </si>
  <si>
    <t>Z647</t>
  </si>
  <si>
    <t>PS-9: A/C LOSS</t>
  </si>
  <si>
    <t>Z648</t>
  </si>
  <si>
    <t>PS-9: BATT. TRBL.</t>
  </si>
  <si>
    <t>Z649</t>
  </si>
  <si>
    <t>Z650</t>
  </si>
  <si>
    <t>Z651</t>
  </si>
  <si>
    <t>Z652</t>
  </si>
  <si>
    <t>Z653</t>
  </si>
  <si>
    <t>Z654</t>
  </si>
  <si>
    <t>Z655</t>
  </si>
  <si>
    <t>Z656</t>
  </si>
  <si>
    <t>Z657</t>
  </si>
  <si>
    <t>Z658</t>
  </si>
  <si>
    <t>Z659</t>
  </si>
  <si>
    <t>Z660</t>
  </si>
  <si>
    <t>Z661</t>
  </si>
  <si>
    <t>Z662</t>
  </si>
  <si>
    <t>Z663</t>
  </si>
  <si>
    <t>PS-10: A/C LOSS</t>
  </si>
  <si>
    <t>Z664</t>
  </si>
  <si>
    <t>PS-10: BATT. TRBL.</t>
  </si>
  <si>
    <t>Z665</t>
  </si>
  <si>
    <t>Z666</t>
  </si>
  <si>
    <t>Z667</t>
  </si>
  <si>
    <t>Z668</t>
  </si>
  <si>
    <t>Z669</t>
  </si>
  <si>
    <t>Z670</t>
  </si>
  <si>
    <t>Z671</t>
  </si>
  <si>
    <t>Z672</t>
  </si>
  <si>
    <t>Z673</t>
  </si>
  <si>
    <t>Z674</t>
  </si>
  <si>
    <t>Z675</t>
  </si>
  <si>
    <t>Z676</t>
  </si>
  <si>
    <t>Z677</t>
  </si>
  <si>
    <t>Z678</t>
  </si>
  <si>
    <t>Z679</t>
  </si>
  <si>
    <t>PS-11: A/C LOSS</t>
  </si>
  <si>
    <t>Z680</t>
  </si>
  <si>
    <t>PS-11: BATT. TRBL.</t>
  </si>
  <si>
    <t>Z681</t>
  </si>
  <si>
    <t>Z682</t>
  </si>
  <si>
    <t>Z683</t>
  </si>
  <si>
    <t>Z684</t>
  </si>
  <si>
    <t>Z685</t>
  </si>
  <si>
    <t>Z686</t>
  </si>
  <si>
    <t>Z687</t>
  </si>
  <si>
    <t>Z688</t>
  </si>
  <si>
    <t>Z689</t>
  </si>
  <si>
    <t>Z690</t>
  </si>
  <si>
    <t>Z691</t>
  </si>
  <si>
    <t>Z692</t>
  </si>
  <si>
    <t>Z693</t>
  </si>
  <si>
    <t>Z694</t>
  </si>
  <si>
    <t>Z695</t>
  </si>
  <si>
    <t>PS-12: A/C LOSS</t>
  </si>
  <si>
    <t>Z696</t>
  </si>
  <si>
    <t>PS-12: BATT. TRBL.</t>
  </si>
  <si>
    <t>Z697</t>
  </si>
  <si>
    <t>Z698</t>
  </si>
  <si>
    <t>Z699</t>
  </si>
  <si>
    <t>Z700</t>
  </si>
  <si>
    <t>Z701</t>
  </si>
  <si>
    <t>Z702</t>
  </si>
  <si>
    <t>Z703</t>
  </si>
  <si>
    <t>Z704</t>
  </si>
  <si>
    <t>Z705</t>
  </si>
  <si>
    <t>Z706</t>
  </si>
  <si>
    <t>Z707</t>
  </si>
  <si>
    <t>Z708</t>
  </si>
  <si>
    <t>Z709</t>
  </si>
  <si>
    <t>Z710</t>
  </si>
  <si>
    <t>Z711</t>
  </si>
  <si>
    <t>Z712</t>
  </si>
  <si>
    <t>Z713</t>
  </si>
  <si>
    <t>Z714</t>
  </si>
  <si>
    <t>Z715</t>
  </si>
  <si>
    <t>PS-13: A/C LOSS</t>
  </si>
  <si>
    <t>Z716</t>
  </si>
  <si>
    <t>PS-13: BATT. TRBL.</t>
  </si>
  <si>
    <t>Z717</t>
  </si>
  <si>
    <t>Z718</t>
  </si>
  <si>
    <t>Z719</t>
  </si>
  <si>
    <t>Z720</t>
  </si>
  <si>
    <t>Z721</t>
  </si>
  <si>
    <t>Z722</t>
  </si>
  <si>
    <t>Z723</t>
  </si>
  <si>
    <t>Z724</t>
  </si>
  <si>
    <t>Z725</t>
  </si>
  <si>
    <t>Z726</t>
  </si>
  <si>
    <t>Z727</t>
  </si>
  <si>
    <t>Z728</t>
  </si>
  <si>
    <t>Z729</t>
  </si>
  <si>
    <t>Z730</t>
  </si>
  <si>
    <t>Z731</t>
  </si>
  <si>
    <t>PS-14: A/C LOSS</t>
  </si>
  <si>
    <t>Z732</t>
  </si>
  <si>
    <t>PS-14: BATT. TRBL.</t>
  </si>
  <si>
    <t>Z733</t>
  </si>
  <si>
    <t>Z734</t>
  </si>
  <si>
    <t>Z735</t>
  </si>
  <si>
    <t>Z736</t>
  </si>
  <si>
    <t>Z737</t>
  </si>
  <si>
    <t>Z738</t>
  </si>
  <si>
    <t>Z739</t>
  </si>
  <si>
    <t>Z740</t>
  </si>
  <si>
    <t>Z741</t>
  </si>
  <si>
    <t>Z742</t>
  </si>
  <si>
    <t>Z743</t>
  </si>
  <si>
    <t>Z744</t>
  </si>
  <si>
    <t>Z745</t>
  </si>
  <si>
    <t>Z746</t>
  </si>
  <si>
    <t>Z747</t>
  </si>
  <si>
    <t>PS-15: A/C LOSS</t>
  </si>
  <si>
    <t>Z748</t>
  </si>
  <si>
    <t>PS-15: BATT. TRBL.</t>
  </si>
  <si>
    <t>Z749</t>
  </si>
  <si>
    <t>Z750</t>
  </si>
  <si>
    <t>Z751</t>
  </si>
  <si>
    <t>Z752</t>
  </si>
  <si>
    <t>Z753</t>
  </si>
  <si>
    <t>Z754</t>
  </si>
  <si>
    <t>Z755</t>
  </si>
  <si>
    <t>Z756</t>
  </si>
  <si>
    <t>Z757</t>
  </si>
  <si>
    <t>Z758</t>
  </si>
  <si>
    <t>Z759</t>
  </si>
  <si>
    <t>Z760</t>
  </si>
  <si>
    <t>Z761</t>
  </si>
  <si>
    <t>Z762</t>
  </si>
  <si>
    <t>Z763</t>
  </si>
  <si>
    <t>PS-16: A/C LOSS</t>
  </si>
  <si>
    <t>Z764</t>
  </si>
  <si>
    <t>PS-16: BATT. TRBL.</t>
  </si>
  <si>
    <t>Z765</t>
  </si>
  <si>
    <t>Z766</t>
  </si>
  <si>
    <t>Z767</t>
  </si>
  <si>
    <t>Z768</t>
  </si>
  <si>
    <t>Z769</t>
  </si>
  <si>
    <t>Z770</t>
  </si>
  <si>
    <t>Z771</t>
  </si>
  <si>
    <t>Z772</t>
  </si>
  <si>
    <t>Z773</t>
  </si>
  <si>
    <t>Z774</t>
  </si>
  <si>
    <t>Z775</t>
  </si>
  <si>
    <t>Z776</t>
  </si>
  <si>
    <t>Z777</t>
  </si>
  <si>
    <t>Z778</t>
  </si>
  <si>
    <t>Z779</t>
  </si>
  <si>
    <t>PS-17: A/C LOSS</t>
  </si>
  <si>
    <t>Z780</t>
  </si>
  <si>
    <t>PS-17: BATT. TRBL.</t>
  </si>
  <si>
    <t>Z781</t>
  </si>
  <si>
    <t>Z782</t>
  </si>
  <si>
    <t>Z783</t>
  </si>
  <si>
    <t>Z784</t>
  </si>
  <si>
    <t>Z785</t>
  </si>
  <si>
    <t>Z786</t>
  </si>
  <si>
    <t>Z787</t>
  </si>
  <si>
    <t>Z788</t>
  </si>
  <si>
    <t>Z789</t>
  </si>
  <si>
    <t>Z790</t>
  </si>
  <si>
    <t>Z791</t>
  </si>
  <si>
    <t>Z792</t>
  </si>
  <si>
    <t>Z793</t>
  </si>
  <si>
    <t>Z794</t>
  </si>
  <si>
    <t>Z795</t>
  </si>
  <si>
    <t>PS-18: A/C LOSS</t>
  </si>
  <si>
    <t>Z796</t>
  </si>
  <si>
    <t>PS-18: BATT. TRBL.</t>
  </si>
  <si>
    <t>Z797</t>
  </si>
  <si>
    <t>Z798</t>
  </si>
  <si>
    <t>Z799</t>
  </si>
  <si>
    <t>Z800</t>
  </si>
  <si>
    <t>Z801</t>
  </si>
  <si>
    <t>Z802</t>
  </si>
  <si>
    <t>Z803</t>
  </si>
  <si>
    <t>Z804</t>
  </si>
  <si>
    <t>Z805</t>
  </si>
  <si>
    <t>Z806</t>
  </si>
  <si>
    <t>Z807</t>
  </si>
  <si>
    <t>Z808</t>
  </si>
  <si>
    <t>Z809</t>
  </si>
  <si>
    <t>Z810</t>
  </si>
  <si>
    <t>Z811</t>
  </si>
  <si>
    <t>Z812</t>
  </si>
  <si>
    <t>Z813</t>
  </si>
  <si>
    <t>Z814</t>
  </si>
  <si>
    <t>Z815</t>
  </si>
  <si>
    <t>PS-19: A/C LOSS</t>
  </si>
  <si>
    <t>Z816</t>
  </si>
  <si>
    <t>PS-19: BATT. TRBL.</t>
  </si>
  <si>
    <t>Z817</t>
  </si>
  <si>
    <t>Z818</t>
  </si>
  <si>
    <t>Z819</t>
  </si>
  <si>
    <t>Z820</t>
  </si>
  <si>
    <t>Z821</t>
  </si>
  <si>
    <t>Z822</t>
  </si>
  <si>
    <t>Z823</t>
  </si>
  <si>
    <t>Z824</t>
  </si>
  <si>
    <t>Z825</t>
  </si>
  <si>
    <t>Z826</t>
  </si>
  <si>
    <t>Z827</t>
  </si>
  <si>
    <t>Z828</t>
  </si>
  <si>
    <t>Z829</t>
  </si>
  <si>
    <t>Z830</t>
  </si>
  <si>
    <t>Z831</t>
  </si>
  <si>
    <t>PS-20: A/C LOSS</t>
  </si>
  <si>
    <t>Z832</t>
  </si>
  <si>
    <t>PS-20: BATT. TRBL.</t>
  </si>
  <si>
    <t>Z833</t>
  </si>
  <si>
    <t>Z834</t>
  </si>
  <si>
    <t>Z835</t>
  </si>
  <si>
    <t>Z836</t>
  </si>
  <si>
    <t>Z837</t>
  </si>
  <si>
    <t>Z838</t>
  </si>
  <si>
    <t>Z839</t>
  </si>
  <si>
    <t>Z840</t>
  </si>
  <si>
    <t>Z841</t>
  </si>
  <si>
    <t>Z842</t>
  </si>
  <si>
    <t>Z843</t>
  </si>
  <si>
    <t>Z844</t>
  </si>
  <si>
    <t>Z845</t>
  </si>
  <si>
    <t>Z846</t>
  </si>
  <si>
    <t>Z847</t>
  </si>
  <si>
    <t>PS-21: A/C LOSS</t>
  </si>
  <si>
    <t>Z848</t>
  </si>
  <si>
    <t>PS-21: BATT. TRBL.</t>
  </si>
  <si>
    <t>Z849</t>
  </si>
  <si>
    <t>Z850</t>
  </si>
  <si>
    <t>Z851</t>
  </si>
  <si>
    <t>Z852</t>
  </si>
  <si>
    <t>Z853</t>
  </si>
  <si>
    <t>Z854</t>
  </si>
  <si>
    <t>Z855</t>
  </si>
  <si>
    <t>Z856</t>
  </si>
  <si>
    <t>Z857</t>
  </si>
  <si>
    <t>Z858</t>
  </si>
  <si>
    <t>Z859</t>
  </si>
  <si>
    <t>Z860</t>
  </si>
  <si>
    <t>Z861</t>
  </si>
  <si>
    <t>Z862</t>
  </si>
  <si>
    <t>Z863</t>
  </si>
  <si>
    <t>PS-22: A/C LOSS</t>
  </si>
  <si>
    <t>Z864</t>
  </si>
  <si>
    <t>PS-22: BATT. TRBL.</t>
  </si>
  <si>
    <t>Z865</t>
  </si>
  <si>
    <t>Z866</t>
  </si>
  <si>
    <t>Z867</t>
  </si>
  <si>
    <t>Z868</t>
  </si>
  <si>
    <t>Z869</t>
  </si>
  <si>
    <t>Z870</t>
  </si>
  <si>
    <t>Z871</t>
  </si>
  <si>
    <t>Z872</t>
  </si>
  <si>
    <t>Z873</t>
  </si>
  <si>
    <t>Z874</t>
  </si>
  <si>
    <t>Z875</t>
  </si>
  <si>
    <t>Z876</t>
  </si>
  <si>
    <t>Z877</t>
  </si>
  <si>
    <t>Z878</t>
  </si>
  <si>
    <t>Z879</t>
  </si>
  <si>
    <t>PS-23: A/C LOSS</t>
  </si>
  <si>
    <t>Z880</t>
  </si>
  <si>
    <t>PS-23: BATT. TRBL.</t>
  </si>
  <si>
    <t>Z881</t>
  </si>
  <si>
    <t>Z882</t>
  </si>
  <si>
    <t>Z883</t>
  </si>
  <si>
    <t>Z884</t>
  </si>
  <si>
    <t>Z885</t>
  </si>
  <si>
    <t>Z886</t>
  </si>
  <si>
    <t>Z887</t>
  </si>
  <si>
    <t>Z888</t>
  </si>
  <si>
    <t>Z889</t>
  </si>
  <si>
    <t>Z890</t>
  </si>
  <si>
    <t>Z891</t>
  </si>
  <si>
    <t>Z892</t>
  </si>
  <si>
    <t>Z893</t>
  </si>
  <si>
    <t>Z894</t>
  </si>
  <si>
    <t>Z895</t>
  </si>
  <si>
    <t>PS-24: A/C LOSS</t>
  </si>
  <si>
    <t>Z896</t>
  </si>
  <si>
    <t>PS-24: BATT. TRBL.</t>
  </si>
  <si>
    <t>Z897</t>
  </si>
  <si>
    <t>Z898</t>
  </si>
  <si>
    <t>Z899</t>
  </si>
  <si>
    <t>Z900</t>
  </si>
  <si>
    <t>Z901</t>
  </si>
  <si>
    <t>Z902</t>
  </si>
  <si>
    <t>Z903</t>
  </si>
  <si>
    <t>Z904</t>
  </si>
  <si>
    <t>Z905</t>
  </si>
  <si>
    <t>Z906</t>
  </si>
  <si>
    <t>Z907</t>
  </si>
  <si>
    <t>Z908</t>
  </si>
  <si>
    <t>Z909</t>
  </si>
  <si>
    <t>Z910</t>
  </si>
  <si>
    <t>Z911</t>
  </si>
  <si>
    <t>Z912</t>
  </si>
  <si>
    <t>Z913</t>
  </si>
  <si>
    <t>Z914</t>
  </si>
  <si>
    <t>Z915</t>
  </si>
  <si>
    <t>PS-25: A/C LOSS</t>
  </si>
  <si>
    <t>Z916</t>
  </si>
  <si>
    <t>PS-25: BATT. TRBL.</t>
  </si>
  <si>
    <t>Z917</t>
  </si>
  <si>
    <t>Z918</t>
  </si>
  <si>
    <t>Z919</t>
  </si>
  <si>
    <t>Z920</t>
  </si>
  <si>
    <t>Z921</t>
  </si>
  <si>
    <t>Z922</t>
  </si>
  <si>
    <t>Z923</t>
  </si>
  <si>
    <t>Z924</t>
  </si>
  <si>
    <t>Z925</t>
  </si>
  <si>
    <t>Z926</t>
  </si>
  <si>
    <t>Z927</t>
  </si>
  <si>
    <t>Z928</t>
  </si>
  <si>
    <t>Z929</t>
  </si>
  <si>
    <t>Z930</t>
  </si>
  <si>
    <t>Z931</t>
  </si>
  <si>
    <t>PS-26: A/C LOSS</t>
  </si>
  <si>
    <t>Z932</t>
  </si>
  <si>
    <t>PS-26: BATT. TRBL.</t>
  </si>
  <si>
    <t>Z933</t>
  </si>
  <si>
    <t>Z934</t>
  </si>
  <si>
    <t>Z935</t>
  </si>
  <si>
    <t>Z936</t>
  </si>
  <si>
    <t>Z937</t>
  </si>
  <si>
    <t>Z938</t>
  </si>
  <si>
    <t>Z939</t>
  </si>
  <si>
    <t>Z940</t>
  </si>
  <si>
    <t>Z941</t>
  </si>
  <si>
    <t>Z942</t>
  </si>
  <si>
    <t>Z943</t>
  </si>
  <si>
    <t>Z944</t>
  </si>
  <si>
    <t>Z945</t>
  </si>
  <si>
    <t>Z946</t>
  </si>
  <si>
    <t>Z947</t>
  </si>
  <si>
    <t>PS-27: A/C LOSS</t>
  </si>
  <si>
    <t>Z948</t>
  </si>
  <si>
    <t>PS-27: BATT. TRBL.</t>
  </si>
  <si>
    <t>Z949</t>
  </si>
  <si>
    <t>Z950</t>
  </si>
  <si>
    <t>Z951</t>
  </si>
  <si>
    <t>Z952</t>
  </si>
  <si>
    <t>Z953</t>
  </si>
  <si>
    <t>Z954</t>
  </si>
  <si>
    <t>Z955</t>
  </si>
  <si>
    <t>Z956</t>
  </si>
  <si>
    <t>Z957</t>
  </si>
  <si>
    <t>Z958</t>
  </si>
  <si>
    <t>Z959</t>
  </si>
  <si>
    <t>Z960</t>
  </si>
  <si>
    <t>Z961</t>
  </si>
  <si>
    <t>Z962</t>
  </si>
  <si>
    <t>Z963</t>
  </si>
  <si>
    <t>PS-28: A/C LOSS</t>
  </si>
  <si>
    <t>Z964</t>
  </si>
  <si>
    <t>PS-28: BATT. TRBL.</t>
  </si>
  <si>
    <t>Z965</t>
  </si>
  <si>
    <t>Z966</t>
  </si>
  <si>
    <t>Z967</t>
  </si>
  <si>
    <t>Z968</t>
  </si>
  <si>
    <t>Z969</t>
  </si>
  <si>
    <t>Z970</t>
  </si>
  <si>
    <t>Z971</t>
  </si>
  <si>
    <t>Z972</t>
  </si>
  <si>
    <t>Z973</t>
  </si>
  <si>
    <t>Z974</t>
  </si>
  <si>
    <t>Z975</t>
  </si>
  <si>
    <t>Z976</t>
  </si>
  <si>
    <t>Z977</t>
  </si>
  <si>
    <t>Z978</t>
  </si>
  <si>
    <t>Z979</t>
  </si>
  <si>
    <t>PS-29: A/C LOSS</t>
  </si>
  <si>
    <t>Z980</t>
  </si>
  <si>
    <t>PS-29: BATT. TRBL.</t>
  </si>
  <si>
    <t>Z981</t>
  </si>
  <si>
    <t>Z982</t>
  </si>
  <si>
    <t>Z983</t>
  </si>
  <si>
    <t>Z984</t>
  </si>
  <si>
    <t>Z985</t>
  </si>
  <si>
    <t>Z986</t>
  </si>
  <si>
    <t>Z987</t>
  </si>
  <si>
    <t>Z988</t>
  </si>
  <si>
    <t>Z989</t>
  </si>
  <si>
    <t>Z990</t>
  </si>
  <si>
    <t>Z991</t>
  </si>
  <si>
    <t>Z992</t>
  </si>
  <si>
    <t>Z993</t>
  </si>
  <si>
    <t>Z994</t>
  </si>
  <si>
    <t>Z995</t>
  </si>
  <si>
    <t>PS-30: A/C LOSS</t>
  </si>
  <si>
    <t>Z996</t>
  </si>
  <si>
    <t>PS-30: BATT. TRBL.</t>
  </si>
  <si>
    <t>Pin 1</t>
  </si>
  <si>
    <t>Pin 2</t>
  </si>
  <si>
    <t>AUX POWER</t>
  </si>
  <si>
    <t>PS1</t>
  </si>
  <si>
    <t>POWER FROM POWER SUPPLY 1</t>
  </si>
  <si>
    <t>PS2</t>
  </si>
  <si>
    <t>POWER FROM POWER SUPPLY 2</t>
  </si>
  <si>
    <t>PS3</t>
  </si>
  <si>
    <t>POWER FROM POWER SUPPLY 3</t>
  </si>
  <si>
    <t>PS4</t>
  </si>
  <si>
    <t>POWER FROM POWER SUPPLY 4</t>
  </si>
  <si>
    <t>PS5</t>
  </si>
  <si>
    <t>POWER FROM POWER SUPPLY 5</t>
  </si>
  <si>
    <t>PS6</t>
  </si>
  <si>
    <t>POWER FROM POWER SUPPLY 6</t>
  </si>
  <si>
    <t>PS7</t>
  </si>
  <si>
    <t>POWER FROM POWER SUPPLY 7</t>
  </si>
  <si>
    <t>PS8</t>
  </si>
  <si>
    <t>POWER FROM POWER SUPPLY 8</t>
  </si>
  <si>
    <t>PS9</t>
  </si>
  <si>
    <t>POWER FROM POWER SUPPLY 9</t>
  </si>
  <si>
    <t>PS10</t>
  </si>
  <si>
    <t>POWER FROM POWER SUPPLY 10</t>
  </si>
  <si>
    <t>PS11</t>
  </si>
  <si>
    <t>POWER FROM POWER SUPPLY 11</t>
  </si>
  <si>
    <t>PS12</t>
  </si>
  <si>
    <t>POWER FROM POWER SUPPLY 12</t>
  </si>
  <si>
    <t>PS13</t>
  </si>
  <si>
    <t>POWER FROM POWER SUPPLY 13</t>
  </si>
  <si>
    <t>PS14</t>
  </si>
  <si>
    <t>POWER FROM POWER SUPPLY 14</t>
  </si>
  <si>
    <t>PS15</t>
  </si>
  <si>
    <t>POWER FROM POWER SUPPLY 15</t>
  </si>
  <si>
    <t>PS16</t>
  </si>
  <si>
    <t>POWER FROM POWER SUPPLY 16</t>
  </si>
  <si>
    <t>PS17</t>
  </si>
  <si>
    <t>POWER FROM POWER SUPPLY 17</t>
  </si>
  <si>
    <t>PS18</t>
  </si>
  <si>
    <t>POWER FROM POWER SUPPLY 18</t>
  </si>
  <si>
    <t>PS19</t>
  </si>
  <si>
    <t>POWER FROM POWER SUPPLY 19</t>
  </si>
  <si>
    <t>PS20</t>
  </si>
  <si>
    <t>POWER FROM POWER SUPPLY 20</t>
  </si>
  <si>
    <t>PS21</t>
  </si>
  <si>
    <t>POWER FROM POWER SUPPLY 21</t>
  </si>
  <si>
    <t>PS22</t>
  </si>
  <si>
    <t>POWER FROM POWER SUPPLY 22</t>
  </si>
  <si>
    <t>PS23</t>
  </si>
  <si>
    <t>POWER FROM POWER SUPPLY 23</t>
  </si>
  <si>
    <t>PS24</t>
  </si>
  <si>
    <t>POWER FROM POWER SUPPLY 24</t>
  </si>
  <si>
    <t>PS25</t>
  </si>
  <si>
    <t>POWER FROM POWER SUPPLY 25</t>
  </si>
  <si>
    <t>PS26</t>
  </si>
  <si>
    <t>POWER FROM POWER SUPPLY 26</t>
  </si>
  <si>
    <t>PS27</t>
  </si>
  <si>
    <t>POWER FROM POWER SUPPLY 27</t>
  </si>
  <si>
    <t>PS28</t>
  </si>
  <si>
    <t>POWER FROM POWER SUPPLY 28</t>
  </si>
  <si>
    <t>PS29</t>
  </si>
  <si>
    <t>POWER FROM POWER SUPPLY 29</t>
  </si>
  <si>
    <t>PS30</t>
  </si>
  <si>
    <t>POWER FROM POWER SUPPLY 30</t>
  </si>
  <si>
    <t>AC Trouble</t>
  </si>
  <si>
    <t>Batt. Trouble</t>
  </si>
  <si>
    <t>DC</t>
  </si>
  <si>
    <t>66 block</t>
  </si>
  <si>
    <t>12v Battery</t>
  </si>
  <si>
    <t>66 block, and RSP-710-F204</t>
  </si>
  <si>
    <t>Combus Input</t>
  </si>
  <si>
    <t>Combus Output 1</t>
  </si>
  <si>
    <t>Combus Output 2</t>
  </si>
  <si>
    <t>Combus Output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</si>
</sst>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  <fill>
      <patternFill patternType="solid">
        <fgColor rgb="FF000000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/>
      <top style="medium">
        <color rgb="FF505050"/>
      </top>
      <bottom/>
      <diagonal/>
    </border>
    <border>
      <left/>
      <right/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hair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50505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50505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 style="thin">
        <color rgb="FF000000"/>
      </left>
      <right style="medium">
        <color rgb="FF000000"/>
      </right>
      <top/>
      <bottom style="hair">
        <color indexed="64"/>
      </bottom>
      <diagonal/>
    </border>
    <border>
      <left style="thin">
        <color rgb="FF000000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hair">
        <color indexed="64"/>
      </top>
      <bottom/>
      <diagonal/>
    </border>
    <border>
      <left style="thin">
        <color rgb="FF000000"/>
      </left>
      <right style="medium">
        <color rgb="FF000000"/>
      </right>
      <top style="hair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505050"/>
      </top>
      <bottom style="medium">
        <color rgb="FF00000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5" borderId="0"/>
  </cellStyleXfs>
  <cellXfs count="13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17" xfId="0" applyFont="1" applyBorder="1" applyAlignment="1">
      <alignment horizontal="center"/>
    </xf>
    <xf numFmtId="0" fontId="4" fillId="2" borderId="2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4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7" fillId="7" borderId="30" xfId="0" applyFont="1" applyFill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/>
    </xf>
    <xf numFmtId="0" fontId="17" fillId="8" borderId="24" xfId="0" applyFont="1" applyFill="1" applyBorder="1" applyAlignment="1">
      <alignment horizontal="center" vertical="center" wrapText="1"/>
    </xf>
    <xf numFmtId="0" fontId="18" fillId="9" borderId="32" xfId="0" applyFont="1" applyFill="1" applyBorder="1" applyAlignment="1">
      <alignment horizontal="center" vertical="center"/>
    </xf>
    <xf numFmtId="0" fontId="18" fillId="9" borderId="33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9" borderId="35" xfId="0" applyFont="1" applyFill="1" applyBorder="1" applyAlignment="1">
      <alignment horizontal="center" vertical="center"/>
    </xf>
    <xf numFmtId="0" fontId="18" fillId="9" borderId="3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7" fillId="8" borderId="23" xfId="0" applyFont="1" applyFill="1" applyBorder="1" applyAlignment="1">
      <alignment horizontal="center" vertical="center" wrapText="1"/>
    </xf>
    <xf numFmtId="0" fontId="17" fillId="8" borderId="40" xfId="0" applyFont="1" applyFill="1" applyBorder="1" applyAlignment="1">
      <alignment horizontal="center" vertical="center" wrapText="1"/>
    </xf>
    <xf numFmtId="0" fontId="17" fillId="8" borderId="41" xfId="0" applyFont="1" applyFill="1" applyBorder="1" applyAlignment="1">
      <alignment horizontal="center" vertical="center" wrapText="1"/>
    </xf>
    <xf numFmtId="0" fontId="18" fillId="9" borderId="44" xfId="0" applyFont="1" applyFill="1" applyBorder="1" applyAlignment="1">
      <alignment horizontal="center" vertical="center"/>
    </xf>
    <xf numFmtId="0" fontId="18" fillId="9" borderId="45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9" borderId="49" xfId="0" applyFont="1" applyFill="1" applyBorder="1" applyAlignment="1">
      <alignment horizontal="center" vertical="center"/>
    </xf>
    <xf numFmtId="0" fontId="18" fillId="9" borderId="50" xfId="0" applyFont="1" applyFill="1" applyBorder="1" applyAlignment="1">
      <alignment horizontal="center" vertical="center"/>
    </xf>
    <xf numFmtId="0" fontId="18" fillId="9" borderId="51" xfId="0" applyFont="1" applyFill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9" borderId="52" xfId="0" applyFont="1" applyFill="1" applyBorder="1" applyAlignment="1">
      <alignment horizontal="center" vertical="center"/>
    </xf>
    <xf numFmtId="0" fontId="18" fillId="9" borderId="53" xfId="0" applyFont="1" applyFill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0" fontId="18" fillId="9" borderId="55" xfId="0" applyFont="1" applyFill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9" borderId="56" xfId="0" applyFont="1" applyFill="1" applyBorder="1" applyAlignment="1">
      <alignment horizontal="center" vertical="center"/>
    </xf>
    <xf numFmtId="0" fontId="18" fillId="9" borderId="54" xfId="0" applyFont="1" applyFill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8" fillId="9" borderId="57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0" fontId="18" fillId="9" borderId="26" xfId="0" applyFont="1" applyFill="1" applyBorder="1" applyAlignment="1">
      <alignment horizontal="center" vertical="center"/>
    </xf>
    <xf numFmtId="0" fontId="18" fillId="9" borderId="47" xfId="0" applyFont="1" applyFill="1" applyBorder="1" applyAlignment="1">
      <alignment horizontal="center" vertical="center"/>
    </xf>
    <xf numFmtId="0" fontId="18" fillId="9" borderId="58" xfId="0" applyFont="1" applyFill="1" applyBorder="1" applyAlignment="1">
      <alignment horizontal="center" vertical="center"/>
    </xf>
    <xf numFmtId="0" fontId="18" fillId="9" borderId="46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11" borderId="70" xfId="0" applyFont="1" applyFill="1" applyBorder="1" applyAlignment="1">
      <alignment horizontal="center" vertical="center"/>
    </xf>
    <xf numFmtId="0" fontId="21" fillId="11" borderId="70" xfId="0" applyFont="1" applyFill="1" applyBorder="1" applyAlignment="1">
      <alignment horizontal="center"/>
    </xf>
    <xf numFmtId="0" fontId="0" fillId="0" borderId="70" xfId="0" applyBorder="1" applyAlignment="1">
      <alignment horizontal="center" vertical="center"/>
    </xf>
    <xf numFmtId="0" fontId="22" fillId="13" borderId="7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9" borderId="34" xfId="0" applyFont="1" applyFill="1" applyBorder="1" applyAlignment="1">
      <alignment horizontal="center" vertical="center"/>
    </xf>
    <xf numFmtId="0" fontId="19" fillId="9" borderId="37" xfId="0" applyFont="1" applyFill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0" fillId="0" borderId="18" xfId="0" applyBorder="1"/>
    <xf numFmtId="0" fontId="0" fillId="0" borderId="13" xfId="0" applyBorder="1"/>
    <xf numFmtId="0" fontId="13" fillId="0" borderId="62" xfId="0" applyFont="1" applyBorder="1" applyAlignment="1">
      <alignment horizontal="center" vertical="center"/>
    </xf>
    <xf numFmtId="0" fontId="0" fillId="0" borderId="0" xfId="0"/>
    <xf numFmtId="0" fontId="0" fillId="0" borderId="15" xfId="0" applyBorder="1"/>
    <xf numFmtId="0" fontId="5" fillId="0" borderId="62" xfId="0" applyFont="1" applyBorder="1" applyAlignment="1">
      <alignment horizontal="center" vertical="center"/>
    </xf>
    <xf numFmtId="0" fontId="16" fillId="6" borderId="63" xfId="0" applyFont="1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13" fillId="0" borderId="6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4" borderId="61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0" fillId="10" borderId="70" xfId="0" applyFont="1" applyFill="1" applyBorder="1" applyAlignment="1">
      <alignment horizontal="center" vertical="center"/>
    </xf>
    <xf numFmtId="0" fontId="0" fillId="0" borderId="71" xfId="0" applyBorder="1"/>
    <xf numFmtId="0" fontId="0" fillId="0" borderId="72" xfId="0" applyBorder="1"/>
    <xf numFmtId="0" fontId="20" fillId="12" borderId="70" xfId="0" applyFont="1" applyFill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0" fillId="0" borderId="4" xfId="0" applyBorder="1"/>
    <xf numFmtId="0" fontId="5" fillId="0" borderId="60" xfId="0" applyFont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4" borderId="69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13" fillId="0" borderId="66" xfId="0" applyFont="1" applyBorder="1" applyAlignment="1">
      <alignment horizontal="center" vertical="center"/>
    </xf>
    <xf numFmtId="0" fontId="0" fillId="0" borderId="25" xfId="0" applyBorder="1"/>
    <xf numFmtId="0" fontId="16" fillId="6" borderId="65" xfId="0" applyFont="1" applyFill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3" fillId="0" borderId="68" xfId="0" applyFont="1" applyBorder="1" applyAlignment="1">
      <alignment horizontal="center" vertical="center"/>
    </xf>
    <xf numFmtId="0" fontId="0" fillId="0" borderId="28" xfId="0" applyBorder="1"/>
    <xf numFmtId="0" fontId="15" fillId="0" borderId="67" xfId="0" applyFont="1" applyBorder="1" applyAlignment="1">
      <alignment horizontal="center" vertical="center"/>
    </xf>
    <xf numFmtId="0" fontId="0" fillId="0" borderId="29" xfId="0" applyBorder="1"/>
    <xf numFmtId="0" fontId="13" fillId="0" borderId="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56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right style="thin">
          <color indexed="64"/>
        </right>
      </border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</font>
      <alignment horizontal="center" vertical="center"/>
    </dxf>
    <dxf>
      <font>
        <b/>
      </font>
      <alignment horizontal="center" vertic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alignment horizontal="center" vertical="center"/>
    </dxf>
    <dxf>
      <border outline="0">
        <bottom style="medium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3672840</xdr:colOff>
      <xdr:row>1</xdr:row>
      <xdr:rowOff>129540</xdr:rowOff>
    </xdr:from>
    <xdr:to>
      <xdr:col>3</xdr:col>
      <xdr:colOff>4442460</xdr:colOff>
      <xdr:row>4</xdr:row>
      <xdr:rowOff>119380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7020" y="129540"/>
          <a:ext cx="769620" cy="769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355600</xdr:colOff>
      <xdr:row>1</xdr:row>
      <xdr:rowOff>63500</xdr:rowOff>
    </xdr:from>
    <xdr:to>
      <xdr:col>2</xdr:col>
      <xdr:colOff>850900</xdr:colOff>
      <xdr:row>5</xdr:row>
      <xdr:rowOff>178025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266700"/>
          <a:ext cx="2247900" cy="10289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3670300</xdr:colOff>
      <xdr:row>51</xdr:row>
      <xdr:rowOff>127000</xdr:rowOff>
    </xdr:from>
    <xdr:to>
      <xdr:col>3</xdr:col>
      <xdr:colOff>4439920</xdr:colOff>
      <xdr:row>54</xdr:row>
      <xdr:rowOff>182245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8965" y="335915"/>
          <a:ext cx="769620" cy="769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355600</xdr:colOff>
      <xdr:row>51</xdr:row>
      <xdr:rowOff>63500</xdr:rowOff>
    </xdr:from>
    <xdr:to>
      <xdr:col>2</xdr:col>
      <xdr:colOff>857250</xdr:colOff>
      <xdr:row>55</xdr:row>
      <xdr:rowOff>187550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269875"/>
          <a:ext cx="2247900" cy="10289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3670300</xdr:colOff>
      <xdr:row>76</xdr:row>
      <xdr:rowOff>139700</xdr:rowOff>
    </xdr:from>
    <xdr:to>
      <xdr:col>3</xdr:col>
      <xdr:colOff>4439920</xdr:colOff>
      <xdr:row>79</xdr:row>
      <xdr:rowOff>139065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8965" y="5336540"/>
          <a:ext cx="769620" cy="7137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355600</xdr:colOff>
      <xdr:row>76</xdr:row>
      <xdr:rowOff>76200</xdr:rowOff>
    </xdr:from>
    <xdr:to>
      <xdr:col>2</xdr:col>
      <xdr:colOff>857250</xdr:colOff>
      <xdr:row>81</xdr:row>
      <xdr:rowOff>2694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370" y="15316200"/>
          <a:ext cx="2253374" cy="10651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3657600</xdr:colOff>
      <xdr:row>76</xdr:row>
      <xdr:rowOff>165100</xdr:rowOff>
    </xdr:from>
    <xdr:to>
      <xdr:col>7</xdr:col>
      <xdr:colOff>4427220</xdr:colOff>
      <xdr:row>79</xdr:row>
      <xdr:rowOff>164465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6425" y="15363825"/>
          <a:ext cx="769620" cy="7137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355600</xdr:colOff>
      <xdr:row>76</xdr:row>
      <xdr:rowOff>101600</xdr:rowOff>
    </xdr:from>
    <xdr:to>
      <xdr:col>6</xdr:col>
      <xdr:colOff>857250</xdr:colOff>
      <xdr:row>81</xdr:row>
      <xdr:rowOff>19275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15300325"/>
          <a:ext cx="2247900" cy="102892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3</xdr:col>
      <xdr:colOff>3672840</xdr:colOff>
      <xdr:row>26</xdr:row>
      <xdr:rowOff>129540</xdr:rowOff>
    </xdr:from>
    <xdr:ext cx="769620" cy="71374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2140" y="332740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26</xdr:row>
      <xdr:rowOff>63500</xdr:rowOff>
    </xdr:from>
    <xdr:ext cx="2247900" cy="1028925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5270500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1</xdr:row>
      <xdr:rowOff>129540</xdr:rowOff>
    </xdr:from>
    <xdr:ext cx="769620" cy="71374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2140" y="332740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1</xdr:row>
      <xdr:rowOff>63500</xdr:rowOff>
    </xdr:from>
    <xdr:ext cx="2247900" cy="1028925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8267" y="261056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101</xdr:row>
      <xdr:rowOff>139700</xdr:rowOff>
    </xdr:from>
    <xdr:ext cx="769620" cy="71374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6425" y="153638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101</xdr:row>
      <xdr:rowOff>76200</xdr:rowOff>
    </xdr:from>
    <xdr:ext cx="2247900" cy="1028925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153003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101</xdr:row>
      <xdr:rowOff>165100</xdr:rowOff>
    </xdr:from>
    <xdr:ext cx="769620" cy="71374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101</xdr:row>
      <xdr:rowOff>101600</xdr:rowOff>
    </xdr:from>
    <xdr:ext cx="2247900" cy="1028925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2975" y="153257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126</xdr:row>
      <xdr:rowOff>139700</xdr:rowOff>
    </xdr:from>
    <xdr:ext cx="769620" cy="71374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6425" y="153638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126</xdr:row>
      <xdr:rowOff>76200</xdr:rowOff>
    </xdr:from>
    <xdr:ext cx="2247900" cy="1028925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153003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126</xdr:row>
      <xdr:rowOff>165100</xdr:rowOff>
    </xdr:from>
    <xdr:ext cx="769620" cy="71374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126</xdr:row>
      <xdr:rowOff>101600</xdr:rowOff>
    </xdr:from>
    <xdr:ext cx="2247900" cy="1028925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2975" y="153257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151</xdr:row>
      <xdr:rowOff>139700</xdr:rowOff>
    </xdr:from>
    <xdr:ext cx="769620" cy="71374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6425" y="203803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151</xdr:row>
      <xdr:rowOff>76200</xdr:rowOff>
    </xdr:from>
    <xdr:ext cx="2247900" cy="1028925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100" y="203168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101</xdr:row>
      <xdr:rowOff>165100</xdr:rowOff>
    </xdr:from>
    <xdr:ext cx="769620" cy="71374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101</xdr:row>
      <xdr:rowOff>165100</xdr:rowOff>
    </xdr:from>
    <xdr:ext cx="769620" cy="71374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126</xdr:row>
      <xdr:rowOff>165100</xdr:rowOff>
    </xdr:from>
    <xdr:ext cx="769620" cy="71374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126</xdr:row>
      <xdr:rowOff>165100</xdr:rowOff>
    </xdr:from>
    <xdr:ext cx="769620" cy="71374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151</xdr:row>
      <xdr:rowOff>165100</xdr:rowOff>
    </xdr:from>
    <xdr:ext cx="769620" cy="71374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0600" y="153892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26</xdr:row>
      <xdr:rowOff>129540</xdr:rowOff>
    </xdr:from>
    <xdr:ext cx="769620" cy="71374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326301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26</xdr:row>
      <xdr:rowOff>63500</xdr:rowOff>
    </xdr:from>
    <xdr:ext cx="2247900" cy="102892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5322373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51</xdr:row>
      <xdr:rowOff>129540</xdr:rowOff>
    </xdr:from>
    <xdr:ext cx="769620" cy="71374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5388413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51</xdr:row>
      <xdr:rowOff>63500</xdr:rowOff>
    </xdr:from>
    <xdr:ext cx="2247900" cy="102892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5322373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151</xdr:row>
      <xdr:rowOff>129540</xdr:rowOff>
    </xdr:from>
    <xdr:ext cx="769620" cy="71374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5388413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151</xdr:row>
      <xdr:rowOff>63500</xdr:rowOff>
    </xdr:from>
    <xdr:ext cx="2247900" cy="102892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5322373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3672840</xdr:colOff>
      <xdr:row>176</xdr:row>
      <xdr:rowOff>129540</xdr:rowOff>
    </xdr:from>
    <xdr:ext cx="769620" cy="687445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4108" y="326301"/>
          <a:ext cx="769620" cy="68744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176</xdr:row>
      <xdr:rowOff>63500</xdr:rowOff>
    </xdr:from>
    <xdr:ext cx="2248257" cy="1008891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260261"/>
          <a:ext cx="2248257" cy="100889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226</xdr:row>
      <xdr:rowOff>127000</xdr:rowOff>
    </xdr:from>
    <xdr:ext cx="769620" cy="752851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1568" y="10447986"/>
          <a:ext cx="769620" cy="75285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226</xdr:row>
      <xdr:rowOff>63500</xdr:rowOff>
    </xdr:from>
    <xdr:ext cx="2254607" cy="1018416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10384486"/>
          <a:ext cx="2254607" cy="1018416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251</xdr:row>
      <xdr:rowOff>139700</xdr:rowOff>
    </xdr:from>
    <xdr:ext cx="769620" cy="69697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1568" y="15522799"/>
          <a:ext cx="769620" cy="69697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251</xdr:row>
      <xdr:rowOff>76200</xdr:rowOff>
    </xdr:from>
    <xdr:ext cx="2254607" cy="101762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15459299"/>
          <a:ext cx="2254607" cy="1017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251</xdr:row>
      <xdr:rowOff>165100</xdr:rowOff>
    </xdr:from>
    <xdr:ext cx="769620" cy="69697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2389" y="15548199"/>
          <a:ext cx="769620" cy="69697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251</xdr:row>
      <xdr:rowOff>101600</xdr:rowOff>
    </xdr:from>
    <xdr:ext cx="2254607" cy="1008801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15484699"/>
          <a:ext cx="2254607" cy="100880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3672840</xdr:colOff>
      <xdr:row>201</xdr:row>
      <xdr:rowOff>129540</xdr:rowOff>
    </xdr:from>
    <xdr:ext cx="769620" cy="71374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4108" y="5388413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201</xdr:row>
      <xdr:rowOff>63500</xdr:rowOff>
    </xdr:from>
    <xdr:ext cx="2247900" cy="1028925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5322373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176</xdr:row>
      <xdr:rowOff>129540</xdr:rowOff>
    </xdr:from>
    <xdr:ext cx="769620" cy="71374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326301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176</xdr:row>
      <xdr:rowOff>63500</xdr:rowOff>
    </xdr:from>
    <xdr:ext cx="2247900" cy="1028925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260261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276</xdr:row>
      <xdr:rowOff>139700</xdr:rowOff>
    </xdr:from>
    <xdr:ext cx="769620" cy="71374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1568" y="20584911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276</xdr:row>
      <xdr:rowOff>76200</xdr:rowOff>
    </xdr:from>
    <xdr:ext cx="2247900" cy="1028925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20521411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276</xdr:row>
      <xdr:rowOff>165100</xdr:rowOff>
    </xdr:from>
    <xdr:ext cx="769620" cy="71374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2389" y="20610311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276</xdr:row>
      <xdr:rowOff>101600</xdr:rowOff>
    </xdr:from>
    <xdr:ext cx="2247900" cy="1028925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20546811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301</xdr:row>
      <xdr:rowOff>139700</xdr:rowOff>
    </xdr:from>
    <xdr:ext cx="769620" cy="71374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1568" y="25647024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301</xdr:row>
      <xdr:rowOff>76200</xdr:rowOff>
    </xdr:from>
    <xdr:ext cx="2247900" cy="1028925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25583524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301</xdr:row>
      <xdr:rowOff>165100</xdr:rowOff>
    </xdr:from>
    <xdr:ext cx="769620" cy="71374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2389" y="25672424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301</xdr:row>
      <xdr:rowOff>101600</xdr:rowOff>
    </xdr:from>
    <xdr:ext cx="2247900" cy="1028925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25608924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326</xdr:row>
      <xdr:rowOff>139700</xdr:rowOff>
    </xdr:from>
    <xdr:ext cx="769620" cy="71374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1568" y="30709137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326</xdr:row>
      <xdr:rowOff>76200</xdr:rowOff>
    </xdr:from>
    <xdr:ext cx="2247900" cy="1028925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30645637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276</xdr:row>
      <xdr:rowOff>165100</xdr:rowOff>
    </xdr:from>
    <xdr:ext cx="769620" cy="71374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48868" y="20610311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276</xdr:row>
      <xdr:rowOff>165100</xdr:rowOff>
    </xdr:from>
    <xdr:ext cx="769620" cy="71374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2389" y="20610311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3657600</xdr:colOff>
      <xdr:row>301</xdr:row>
      <xdr:rowOff>165100</xdr:rowOff>
    </xdr:from>
    <xdr:ext cx="769620" cy="71374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32389" y="25672424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301</xdr:row>
      <xdr:rowOff>165100</xdr:rowOff>
    </xdr:from>
    <xdr:ext cx="769620" cy="71374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48868" y="25672424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326</xdr:row>
      <xdr:rowOff>165100</xdr:rowOff>
    </xdr:from>
    <xdr:ext cx="769620" cy="71374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48868" y="30734537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201</xdr:row>
      <xdr:rowOff>129540</xdr:rowOff>
    </xdr:from>
    <xdr:ext cx="769620" cy="71374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5388413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201</xdr:row>
      <xdr:rowOff>63500</xdr:rowOff>
    </xdr:from>
    <xdr:ext cx="2247900" cy="1028925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5322373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226</xdr:row>
      <xdr:rowOff>129540</xdr:rowOff>
    </xdr:from>
    <xdr:ext cx="769620" cy="71374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10450526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226</xdr:row>
      <xdr:rowOff>63500</xdr:rowOff>
    </xdr:from>
    <xdr:ext cx="2247900" cy="1028925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10384486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326</xdr:row>
      <xdr:rowOff>129540</xdr:rowOff>
    </xdr:from>
    <xdr:ext cx="769620" cy="71374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30698977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326</xdr:row>
      <xdr:rowOff>63500</xdr:rowOff>
    </xdr:from>
    <xdr:ext cx="2247900" cy="1028925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30632937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3670300</xdr:colOff>
      <xdr:row>351</xdr:row>
      <xdr:rowOff>139700</xdr:rowOff>
    </xdr:from>
    <xdr:ext cx="769620" cy="71374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1568" y="661439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355600</xdr:colOff>
      <xdr:row>351</xdr:row>
      <xdr:rowOff>76200</xdr:rowOff>
    </xdr:from>
    <xdr:ext cx="2247900" cy="1028925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361" y="660804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3657600</xdr:colOff>
      <xdr:row>351</xdr:row>
      <xdr:rowOff>165100</xdr:rowOff>
    </xdr:from>
    <xdr:ext cx="769620" cy="71374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48868" y="6616932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3672840</xdr:colOff>
      <xdr:row>351</xdr:row>
      <xdr:rowOff>129540</xdr:rowOff>
    </xdr:from>
    <xdr:ext cx="769620" cy="71374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47629" y="66133765"/>
          <a:ext cx="769620" cy="7137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355600</xdr:colOff>
      <xdr:row>351</xdr:row>
      <xdr:rowOff>63500</xdr:rowOff>
    </xdr:from>
    <xdr:ext cx="2247900" cy="1028925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35882" y="66067725"/>
          <a:ext cx="2247900" cy="10289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2727960</xdr:colOff>
      <xdr:row>27</xdr:row>
      <xdr:rowOff>91440</xdr:rowOff>
    </xdr:from>
    <xdr:to>
      <xdr:col>3</xdr:col>
      <xdr:colOff>3497580</xdr:colOff>
      <xdr:row>30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4540" y="91440"/>
          <a:ext cx="769620" cy="769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15240</xdr:colOff>
      <xdr:row>27</xdr:row>
      <xdr:rowOff>60960</xdr:rowOff>
    </xdr:from>
    <xdr:to>
      <xdr:col>2</xdr:col>
      <xdr:colOff>114300</xdr:colOff>
      <xdr:row>31</xdr:row>
      <xdr:rowOff>188185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217" y="5554448"/>
          <a:ext cx="2491385" cy="10280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2701290</xdr:colOff>
      <xdr:row>53</xdr:row>
      <xdr:rowOff>100965</xdr:rowOff>
    </xdr:from>
    <xdr:to>
      <xdr:col>3</xdr:col>
      <xdr:colOff>3470910</xdr:colOff>
      <xdr:row>56</xdr:row>
      <xdr:rowOff>184785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1190" y="5558790"/>
          <a:ext cx="769620" cy="7981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24765</xdr:colOff>
      <xdr:row>53</xdr:row>
      <xdr:rowOff>60960</xdr:rowOff>
    </xdr:from>
    <xdr:to>
      <xdr:col>2</xdr:col>
      <xdr:colOff>123825</xdr:colOff>
      <xdr:row>57</xdr:row>
      <xdr:rowOff>188185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2692400</xdr:colOff>
      <xdr:row>105</xdr:row>
      <xdr:rowOff>88900</xdr:rowOff>
    </xdr:from>
    <xdr:to>
      <xdr:col>3</xdr:col>
      <xdr:colOff>3462020</xdr:colOff>
      <xdr:row>108</xdr:row>
      <xdr:rowOff>163195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7981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12700</xdr:colOff>
      <xdr:row>105</xdr:row>
      <xdr:rowOff>50800</xdr:rowOff>
    </xdr:from>
    <xdr:to>
      <xdr:col>2</xdr:col>
      <xdr:colOff>111760</xdr:colOff>
      <xdr:row>109</xdr:row>
      <xdr:rowOff>178025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2692400</xdr:colOff>
      <xdr:row>105</xdr:row>
      <xdr:rowOff>88900</xdr:rowOff>
    </xdr:from>
    <xdr:to>
      <xdr:col>7</xdr:col>
      <xdr:colOff>3462020</xdr:colOff>
      <xdr:row>108</xdr:row>
      <xdr:rowOff>172720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63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25400</xdr:colOff>
      <xdr:row>105</xdr:row>
      <xdr:rowOff>50800</xdr:rowOff>
    </xdr:from>
    <xdr:to>
      <xdr:col>6</xdr:col>
      <xdr:colOff>124460</xdr:colOff>
      <xdr:row>109</xdr:row>
      <xdr:rowOff>178025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59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2692400</xdr:colOff>
      <xdr:row>131</xdr:row>
      <xdr:rowOff>88900</xdr:rowOff>
    </xdr:from>
    <xdr:to>
      <xdr:col>3</xdr:col>
      <xdr:colOff>3462020</xdr:colOff>
      <xdr:row>134</xdr:row>
      <xdr:rowOff>163195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7981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12700</xdr:colOff>
      <xdr:row>131</xdr:row>
      <xdr:rowOff>50800</xdr:rowOff>
    </xdr:from>
    <xdr:to>
      <xdr:col>2</xdr:col>
      <xdr:colOff>111760</xdr:colOff>
      <xdr:row>135</xdr:row>
      <xdr:rowOff>178025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2692400</xdr:colOff>
      <xdr:row>131</xdr:row>
      <xdr:rowOff>88900</xdr:rowOff>
    </xdr:from>
    <xdr:to>
      <xdr:col>7</xdr:col>
      <xdr:colOff>3462020</xdr:colOff>
      <xdr:row>134</xdr:row>
      <xdr:rowOff>172720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63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25400</xdr:colOff>
      <xdr:row>131</xdr:row>
      <xdr:rowOff>50800</xdr:rowOff>
    </xdr:from>
    <xdr:to>
      <xdr:col>6</xdr:col>
      <xdr:colOff>124460</xdr:colOff>
      <xdr:row>135</xdr:row>
      <xdr:rowOff>178025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59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2692400</xdr:colOff>
      <xdr:row>157</xdr:row>
      <xdr:rowOff>88900</xdr:rowOff>
    </xdr:from>
    <xdr:to>
      <xdr:col>3</xdr:col>
      <xdr:colOff>3462020</xdr:colOff>
      <xdr:row>160</xdr:row>
      <xdr:rowOff>163195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7981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12700</xdr:colOff>
      <xdr:row>157</xdr:row>
      <xdr:rowOff>50800</xdr:rowOff>
    </xdr:from>
    <xdr:to>
      <xdr:col>2</xdr:col>
      <xdr:colOff>111760</xdr:colOff>
      <xdr:row>161</xdr:row>
      <xdr:rowOff>178025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2692400</xdr:colOff>
      <xdr:row>157</xdr:row>
      <xdr:rowOff>88900</xdr:rowOff>
    </xdr:from>
    <xdr:to>
      <xdr:col>7</xdr:col>
      <xdr:colOff>3462020</xdr:colOff>
      <xdr:row>160</xdr:row>
      <xdr:rowOff>172720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63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25400</xdr:colOff>
      <xdr:row>157</xdr:row>
      <xdr:rowOff>50800</xdr:rowOff>
    </xdr:from>
    <xdr:to>
      <xdr:col>6</xdr:col>
      <xdr:colOff>124460</xdr:colOff>
      <xdr:row>161</xdr:row>
      <xdr:rowOff>178025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59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2692400</xdr:colOff>
      <xdr:row>183</xdr:row>
      <xdr:rowOff>88900</xdr:rowOff>
    </xdr:from>
    <xdr:to>
      <xdr:col>3</xdr:col>
      <xdr:colOff>3462020</xdr:colOff>
      <xdr:row>186</xdr:row>
      <xdr:rowOff>163195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7981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12700</xdr:colOff>
      <xdr:row>183</xdr:row>
      <xdr:rowOff>50800</xdr:rowOff>
    </xdr:from>
    <xdr:to>
      <xdr:col>2</xdr:col>
      <xdr:colOff>111760</xdr:colOff>
      <xdr:row>187</xdr:row>
      <xdr:rowOff>178025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2692400</xdr:colOff>
      <xdr:row>183</xdr:row>
      <xdr:rowOff>88900</xdr:rowOff>
    </xdr:from>
    <xdr:to>
      <xdr:col>7</xdr:col>
      <xdr:colOff>3462020</xdr:colOff>
      <xdr:row>186</xdr:row>
      <xdr:rowOff>172720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63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25400</xdr:colOff>
      <xdr:row>183</xdr:row>
      <xdr:rowOff>50800</xdr:rowOff>
    </xdr:from>
    <xdr:to>
      <xdr:col>6</xdr:col>
      <xdr:colOff>124460</xdr:colOff>
      <xdr:row>187</xdr:row>
      <xdr:rowOff>178025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59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2692400</xdr:colOff>
      <xdr:row>209</xdr:row>
      <xdr:rowOff>88900</xdr:rowOff>
    </xdr:from>
    <xdr:to>
      <xdr:col>3</xdr:col>
      <xdr:colOff>3462020</xdr:colOff>
      <xdr:row>212</xdr:row>
      <xdr:rowOff>163195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7981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12700</xdr:colOff>
      <xdr:row>209</xdr:row>
      <xdr:rowOff>50800</xdr:rowOff>
    </xdr:from>
    <xdr:to>
      <xdr:col>2</xdr:col>
      <xdr:colOff>111760</xdr:colOff>
      <xdr:row>213</xdr:row>
      <xdr:rowOff>178025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2692400</xdr:colOff>
      <xdr:row>209</xdr:row>
      <xdr:rowOff>88900</xdr:rowOff>
    </xdr:from>
    <xdr:to>
      <xdr:col>7</xdr:col>
      <xdr:colOff>3462020</xdr:colOff>
      <xdr:row>212</xdr:row>
      <xdr:rowOff>172720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63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25400</xdr:colOff>
      <xdr:row>209</xdr:row>
      <xdr:rowOff>50800</xdr:rowOff>
    </xdr:from>
    <xdr:to>
      <xdr:col>6</xdr:col>
      <xdr:colOff>124460</xdr:colOff>
      <xdr:row>213</xdr:row>
      <xdr:rowOff>178025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59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7</xdr:col>
      <xdr:colOff>2727960</xdr:colOff>
      <xdr:row>27</xdr:row>
      <xdr:rowOff>91440</xdr:rowOff>
    </xdr:from>
    <xdr:ext cx="769620" cy="8077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23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15240</xdr:colOff>
      <xdr:row>27</xdr:row>
      <xdr:rowOff>60960</xdr:rowOff>
    </xdr:from>
    <xdr:ext cx="2486660" cy="104162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46440" y="264160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2701290</xdr:colOff>
      <xdr:row>53</xdr:row>
      <xdr:rowOff>100965</xdr:rowOff>
    </xdr:from>
    <xdr:ext cx="769620" cy="80772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24765</xdr:colOff>
      <xdr:row>53</xdr:row>
      <xdr:rowOff>60960</xdr:rowOff>
    </xdr:from>
    <xdr:ext cx="2486660" cy="104162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2701290</xdr:colOff>
      <xdr:row>79</xdr:row>
      <xdr:rowOff>100965</xdr:rowOff>
    </xdr:from>
    <xdr:ext cx="769620" cy="80772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24765</xdr:colOff>
      <xdr:row>79</xdr:row>
      <xdr:rowOff>60960</xdr:rowOff>
    </xdr:from>
    <xdr:ext cx="2486660" cy="1041625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10741660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2701290</xdr:colOff>
      <xdr:row>79</xdr:row>
      <xdr:rowOff>100965</xdr:rowOff>
    </xdr:from>
    <xdr:ext cx="769620" cy="80772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6390" y="5574665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24765</xdr:colOff>
      <xdr:row>79</xdr:row>
      <xdr:rowOff>60960</xdr:rowOff>
    </xdr:from>
    <xdr:ext cx="2486660" cy="1041625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5965" y="5534660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2727960</xdr:colOff>
      <xdr:row>1</xdr:row>
      <xdr:rowOff>91440</xdr:rowOff>
    </xdr:from>
    <xdr:ext cx="769620" cy="80772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2360" y="2819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</xdr:row>
      <xdr:rowOff>60960</xdr:rowOff>
    </xdr:from>
    <xdr:ext cx="2486660" cy="1041625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217" y="267704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2701290</xdr:colOff>
      <xdr:row>1</xdr:row>
      <xdr:rowOff>100965</xdr:rowOff>
    </xdr:from>
    <xdr:ext cx="769620" cy="81534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5690" y="291465"/>
          <a:ext cx="769620" cy="8153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24765</xdr:colOff>
      <xdr:row>1</xdr:row>
      <xdr:rowOff>60960</xdr:rowOff>
    </xdr:from>
    <xdr:ext cx="2486660" cy="1041625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265" y="251460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2727960</xdr:colOff>
      <xdr:row>260</xdr:row>
      <xdr:rowOff>91440</xdr:rowOff>
    </xdr:from>
    <xdr:ext cx="769620" cy="792658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3541" y="5584928"/>
          <a:ext cx="769620" cy="792658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260</xdr:row>
      <xdr:rowOff>60960</xdr:rowOff>
    </xdr:from>
    <xdr:ext cx="2491385" cy="1028039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217" y="5554448"/>
          <a:ext cx="2491385" cy="10280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2701290</xdr:colOff>
      <xdr:row>286</xdr:row>
      <xdr:rowOff>100965</xdr:rowOff>
    </xdr:from>
    <xdr:ext cx="769620" cy="792657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6871" y="10881198"/>
          <a:ext cx="769620" cy="79265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24765</xdr:colOff>
      <xdr:row>286</xdr:row>
      <xdr:rowOff>60960</xdr:rowOff>
    </xdr:from>
    <xdr:ext cx="2491385" cy="1028039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6742" y="10841193"/>
          <a:ext cx="2491385" cy="10280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2692400</xdr:colOff>
      <xdr:row>338</xdr:row>
      <xdr:rowOff>88900</xdr:rowOff>
    </xdr:from>
    <xdr:ext cx="769620" cy="783132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47981" y="21354016"/>
          <a:ext cx="769620" cy="78313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12700</xdr:colOff>
      <xdr:row>338</xdr:row>
      <xdr:rowOff>50800</xdr:rowOff>
    </xdr:from>
    <xdr:ext cx="2491385" cy="1028039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4677" y="21315916"/>
          <a:ext cx="2491385" cy="10280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2692400</xdr:colOff>
      <xdr:row>338</xdr:row>
      <xdr:rowOff>88900</xdr:rowOff>
    </xdr:from>
    <xdr:ext cx="769620" cy="792657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9609" y="21354016"/>
          <a:ext cx="769620" cy="79265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25400</xdr:colOff>
      <xdr:row>338</xdr:row>
      <xdr:rowOff>50800</xdr:rowOff>
    </xdr:from>
    <xdr:ext cx="2491385" cy="1028039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9005" y="21315916"/>
          <a:ext cx="2491385" cy="10280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2692400</xdr:colOff>
      <xdr:row>364</xdr:row>
      <xdr:rowOff>88900</xdr:rowOff>
    </xdr:from>
    <xdr:ext cx="769620" cy="783132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47981" y="26611226"/>
          <a:ext cx="769620" cy="78313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12700</xdr:colOff>
      <xdr:row>364</xdr:row>
      <xdr:rowOff>50800</xdr:rowOff>
    </xdr:from>
    <xdr:ext cx="2491385" cy="1028039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4677" y="26573126"/>
          <a:ext cx="2491385" cy="10280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2692400</xdr:colOff>
      <xdr:row>364</xdr:row>
      <xdr:rowOff>88900</xdr:rowOff>
    </xdr:from>
    <xdr:ext cx="769620" cy="792657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99609" y="26611226"/>
          <a:ext cx="769620" cy="79265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25400</xdr:colOff>
      <xdr:row>364</xdr:row>
      <xdr:rowOff>50800</xdr:rowOff>
    </xdr:from>
    <xdr:ext cx="2491385" cy="1028039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9005" y="26573126"/>
          <a:ext cx="2491385" cy="102803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2727960</xdr:colOff>
      <xdr:row>260</xdr:row>
      <xdr:rowOff>91440</xdr:rowOff>
    </xdr:from>
    <xdr:ext cx="769620" cy="80772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35169" y="5584928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15240</xdr:colOff>
      <xdr:row>260</xdr:row>
      <xdr:rowOff>60960</xdr:rowOff>
    </xdr:from>
    <xdr:ext cx="2486660" cy="1041625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8845" y="5554448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2701290</xdr:colOff>
      <xdr:row>286</xdr:row>
      <xdr:rowOff>100965</xdr:rowOff>
    </xdr:from>
    <xdr:ext cx="769620" cy="80772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08499" y="10881198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24765</xdr:colOff>
      <xdr:row>286</xdr:row>
      <xdr:rowOff>60960</xdr:rowOff>
    </xdr:from>
    <xdr:ext cx="2486660" cy="1041625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8370" y="10841193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2701290</xdr:colOff>
      <xdr:row>312</xdr:row>
      <xdr:rowOff>100965</xdr:rowOff>
    </xdr:from>
    <xdr:ext cx="769620" cy="80772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6871" y="16123639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24765</xdr:colOff>
      <xdr:row>312</xdr:row>
      <xdr:rowOff>60960</xdr:rowOff>
    </xdr:from>
    <xdr:ext cx="2486660" cy="1041625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6742" y="16083634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2701290</xdr:colOff>
      <xdr:row>312</xdr:row>
      <xdr:rowOff>100965</xdr:rowOff>
    </xdr:from>
    <xdr:ext cx="769620" cy="80772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08499" y="16123639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24765</xdr:colOff>
      <xdr:row>312</xdr:row>
      <xdr:rowOff>60960</xdr:rowOff>
    </xdr:from>
    <xdr:ext cx="2486660" cy="1041625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8370" y="16083634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2727960</xdr:colOff>
      <xdr:row>234</xdr:row>
      <xdr:rowOff>91440</xdr:rowOff>
    </xdr:from>
    <xdr:ext cx="769620" cy="80772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3541" y="298184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234</xdr:row>
      <xdr:rowOff>60960</xdr:rowOff>
    </xdr:from>
    <xdr:ext cx="2486660" cy="1041625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217" y="267704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2701290</xdr:colOff>
      <xdr:row>234</xdr:row>
      <xdr:rowOff>100965</xdr:rowOff>
    </xdr:from>
    <xdr:ext cx="769620" cy="81534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08499" y="307709"/>
          <a:ext cx="769620" cy="8153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24765</xdr:colOff>
      <xdr:row>234</xdr:row>
      <xdr:rowOff>60960</xdr:rowOff>
    </xdr:from>
    <xdr:ext cx="2486660" cy="1041625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8370" y="267704"/>
          <a:ext cx="2486660" cy="10416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2727960</xdr:colOff>
      <xdr:row>1</xdr:row>
      <xdr:rowOff>91440</xdr:rowOff>
    </xdr:from>
    <xdr:to>
      <xdr:col>2</xdr:col>
      <xdr:colOff>3497580</xdr:colOff>
      <xdr:row>4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7860" y="91440"/>
          <a:ext cx="769620" cy="769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15240</xdr:colOff>
      <xdr:row>1</xdr:row>
      <xdr:rowOff>60960</xdr:rowOff>
    </xdr:from>
    <xdr:to>
      <xdr:col>1</xdr:col>
      <xdr:colOff>2263140</xdr:colOff>
      <xdr:row>5</xdr:row>
      <xdr:rowOff>188185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259876"/>
          <a:ext cx="2247900" cy="1045297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</xdr:col>
      <xdr:colOff>2727960</xdr:colOff>
      <xdr:row>13</xdr:row>
      <xdr:rowOff>91440</xdr:rowOff>
    </xdr:from>
    <xdr:ext cx="769620" cy="76962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0240" y="2819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13</xdr:row>
      <xdr:rowOff>60960</xdr:rowOff>
    </xdr:from>
    <xdr:ext cx="2247900" cy="995905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2880" y="2514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</xdr:row>
      <xdr:rowOff>91440</xdr:rowOff>
    </xdr:from>
    <xdr:ext cx="769620" cy="8077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</xdr:row>
      <xdr:rowOff>60960</xdr:rowOff>
    </xdr:from>
    <xdr:ext cx="2247900" cy="104162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264160"/>
          <a:ext cx="224790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</xdr:row>
      <xdr:rowOff>91440</xdr:rowOff>
    </xdr:from>
    <xdr:ext cx="769620" cy="7696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52984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13</xdr:row>
      <xdr:rowOff>60960</xdr:rowOff>
    </xdr:from>
    <xdr:ext cx="2247900" cy="99590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52679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</xdr:row>
      <xdr:rowOff>91440</xdr:rowOff>
    </xdr:from>
    <xdr:ext cx="769620" cy="80772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</xdr:row>
      <xdr:rowOff>91440</xdr:rowOff>
    </xdr:from>
    <xdr:ext cx="769620" cy="80772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13</xdr:row>
      <xdr:rowOff>91440</xdr:rowOff>
    </xdr:from>
    <xdr:ext cx="769620" cy="80772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25</xdr:row>
      <xdr:rowOff>91440</xdr:rowOff>
    </xdr:from>
    <xdr:ext cx="769620" cy="76962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52857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25</xdr:row>
      <xdr:rowOff>60960</xdr:rowOff>
    </xdr:from>
    <xdr:ext cx="2247900" cy="995905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102717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25</xdr:row>
      <xdr:rowOff>91440</xdr:rowOff>
    </xdr:from>
    <xdr:ext cx="769620" cy="76962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52857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25</xdr:row>
      <xdr:rowOff>60960</xdr:rowOff>
    </xdr:from>
    <xdr:ext cx="2247900" cy="995905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52552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25</xdr:row>
      <xdr:rowOff>91440</xdr:rowOff>
    </xdr:from>
    <xdr:ext cx="769620" cy="76962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103022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37</xdr:row>
      <xdr:rowOff>91440</xdr:rowOff>
    </xdr:from>
    <xdr:ext cx="769620" cy="76962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6404" y="10392551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37</xdr:row>
      <xdr:rowOff>60960</xdr:rowOff>
    </xdr:from>
    <xdr:ext cx="2247900" cy="995905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796" y="10362071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37</xdr:row>
      <xdr:rowOff>91440</xdr:rowOff>
    </xdr:from>
    <xdr:ext cx="769620" cy="76962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0392551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37</xdr:row>
      <xdr:rowOff>60960</xdr:rowOff>
    </xdr:from>
    <xdr:ext cx="2247900" cy="995905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27907" y="10362071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37</xdr:row>
      <xdr:rowOff>91440</xdr:rowOff>
    </xdr:from>
    <xdr:ext cx="769620" cy="76962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0392551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49</xdr:row>
      <xdr:rowOff>91440</xdr:rowOff>
    </xdr:from>
    <xdr:ext cx="769620" cy="76962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6404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49</xdr:row>
      <xdr:rowOff>60960</xdr:rowOff>
    </xdr:from>
    <xdr:ext cx="2247900" cy="995905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796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49</xdr:row>
      <xdr:rowOff>91440</xdr:rowOff>
    </xdr:from>
    <xdr:ext cx="769620" cy="76962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49</xdr:row>
      <xdr:rowOff>60960</xdr:rowOff>
    </xdr:from>
    <xdr:ext cx="2247900" cy="995905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27907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49</xdr:row>
      <xdr:rowOff>91440</xdr:rowOff>
    </xdr:from>
    <xdr:ext cx="769620" cy="76962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61</xdr:row>
      <xdr:rowOff>91440</xdr:rowOff>
    </xdr:from>
    <xdr:ext cx="769620" cy="76962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6404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61</xdr:row>
      <xdr:rowOff>60960</xdr:rowOff>
    </xdr:from>
    <xdr:ext cx="2247900" cy="995905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796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61</xdr:row>
      <xdr:rowOff>91440</xdr:rowOff>
    </xdr:from>
    <xdr:ext cx="769620" cy="76962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61</xdr:row>
      <xdr:rowOff>60960</xdr:rowOff>
    </xdr:from>
    <xdr:ext cx="2247900" cy="995905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27907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61</xdr:row>
      <xdr:rowOff>91440</xdr:rowOff>
    </xdr:from>
    <xdr:ext cx="769620" cy="76962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73</xdr:row>
      <xdr:rowOff>91440</xdr:rowOff>
    </xdr:from>
    <xdr:ext cx="769620" cy="76962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6404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73</xdr:row>
      <xdr:rowOff>60960</xdr:rowOff>
    </xdr:from>
    <xdr:ext cx="2247900" cy="995905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796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73</xdr:row>
      <xdr:rowOff>91440</xdr:rowOff>
    </xdr:from>
    <xdr:ext cx="769620" cy="76962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73</xdr:row>
      <xdr:rowOff>60960</xdr:rowOff>
    </xdr:from>
    <xdr:ext cx="2247900" cy="995905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27907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73</xdr:row>
      <xdr:rowOff>91440</xdr:rowOff>
    </xdr:from>
    <xdr:ext cx="769620" cy="76962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85</xdr:row>
      <xdr:rowOff>91440</xdr:rowOff>
    </xdr:from>
    <xdr:ext cx="769620" cy="76962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6404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85</xdr:row>
      <xdr:rowOff>60960</xdr:rowOff>
    </xdr:from>
    <xdr:ext cx="2247900" cy="995905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2796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85</xdr:row>
      <xdr:rowOff>91440</xdr:rowOff>
    </xdr:from>
    <xdr:ext cx="769620" cy="76962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85</xdr:row>
      <xdr:rowOff>60960</xdr:rowOff>
    </xdr:from>
    <xdr:ext cx="2247900" cy="995905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27907" y="15413849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85</xdr:row>
      <xdr:rowOff>91440</xdr:rowOff>
    </xdr:from>
    <xdr:ext cx="769620" cy="76962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101516" y="15444329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25</xdr:row>
      <xdr:rowOff>91440</xdr:rowOff>
    </xdr:from>
    <xdr:ext cx="769620" cy="76962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37</xdr:row>
      <xdr:rowOff>91440</xdr:rowOff>
    </xdr:from>
    <xdr:ext cx="769620" cy="76962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37</xdr:row>
      <xdr:rowOff>91440</xdr:rowOff>
    </xdr:from>
    <xdr:ext cx="769620" cy="76962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49</xdr:row>
      <xdr:rowOff>91440</xdr:rowOff>
    </xdr:from>
    <xdr:ext cx="769620" cy="76962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49</xdr:row>
      <xdr:rowOff>91440</xdr:rowOff>
    </xdr:from>
    <xdr:ext cx="769620" cy="76962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61</xdr:row>
      <xdr:rowOff>91440</xdr:rowOff>
    </xdr:from>
    <xdr:ext cx="769620" cy="76962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61</xdr:row>
      <xdr:rowOff>91440</xdr:rowOff>
    </xdr:from>
    <xdr:ext cx="769620" cy="76962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73</xdr:row>
      <xdr:rowOff>91440</xdr:rowOff>
    </xdr:from>
    <xdr:ext cx="769620" cy="76962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73</xdr:row>
      <xdr:rowOff>91440</xdr:rowOff>
    </xdr:from>
    <xdr:ext cx="769620" cy="76962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85</xdr:row>
      <xdr:rowOff>91440</xdr:rowOff>
    </xdr:from>
    <xdr:ext cx="769620" cy="76962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85</xdr:row>
      <xdr:rowOff>91440</xdr:rowOff>
    </xdr:from>
    <xdr:ext cx="769620" cy="76962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97</xdr:row>
      <xdr:rowOff>91440</xdr:rowOff>
    </xdr:from>
    <xdr:ext cx="769620" cy="818277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290356"/>
          <a:ext cx="769620" cy="81827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97</xdr:row>
      <xdr:rowOff>60960</xdr:rowOff>
    </xdr:from>
    <xdr:ext cx="2247900" cy="1045297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259876"/>
          <a:ext cx="2247900" cy="104529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109</xdr:row>
      <xdr:rowOff>91440</xdr:rowOff>
    </xdr:from>
    <xdr:ext cx="769620" cy="76962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529385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109</xdr:row>
      <xdr:rowOff>60960</xdr:rowOff>
    </xdr:from>
    <xdr:ext cx="2247900" cy="995905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526337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97</xdr:row>
      <xdr:rowOff>91440</xdr:rowOff>
    </xdr:from>
    <xdr:ext cx="769620" cy="80772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90356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97</xdr:row>
      <xdr:rowOff>60960</xdr:rowOff>
    </xdr:from>
    <xdr:ext cx="2247900" cy="1041625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259876"/>
          <a:ext cx="224790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109</xdr:row>
      <xdr:rowOff>91440</xdr:rowOff>
    </xdr:from>
    <xdr:ext cx="769620" cy="769620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529385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109</xdr:row>
      <xdr:rowOff>60960</xdr:rowOff>
    </xdr:from>
    <xdr:ext cx="2247900" cy="995905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526337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97</xdr:row>
      <xdr:rowOff>91440</xdr:rowOff>
    </xdr:from>
    <xdr:ext cx="769620" cy="807720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90356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109</xdr:row>
      <xdr:rowOff>91440</xdr:rowOff>
    </xdr:from>
    <xdr:ext cx="769620" cy="80772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529385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109</xdr:row>
      <xdr:rowOff>91440</xdr:rowOff>
    </xdr:from>
    <xdr:ext cx="769620" cy="807720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529385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121</xdr:row>
      <xdr:rowOff>91440</xdr:rowOff>
    </xdr:from>
    <xdr:ext cx="769620" cy="769620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121</xdr:row>
      <xdr:rowOff>60960</xdr:rowOff>
    </xdr:from>
    <xdr:ext cx="2247900" cy="995905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10266864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121</xdr:row>
      <xdr:rowOff>91440</xdr:rowOff>
    </xdr:from>
    <xdr:ext cx="769620" cy="769620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121</xdr:row>
      <xdr:rowOff>60960</xdr:rowOff>
    </xdr:from>
    <xdr:ext cx="2247900" cy="995905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10266864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121</xdr:row>
      <xdr:rowOff>91440</xdr:rowOff>
    </xdr:from>
    <xdr:ext cx="769620" cy="769620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133</xdr:row>
      <xdr:rowOff>91440</xdr:rowOff>
    </xdr:from>
    <xdr:ext cx="769620" cy="769620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5300838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133</xdr:row>
      <xdr:rowOff>60960</xdr:rowOff>
    </xdr:from>
    <xdr:ext cx="2247900" cy="995905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15270358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133</xdr:row>
      <xdr:rowOff>91440</xdr:rowOff>
    </xdr:from>
    <xdr:ext cx="769620" cy="769620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15300838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133</xdr:row>
      <xdr:rowOff>60960</xdr:rowOff>
    </xdr:from>
    <xdr:ext cx="2247900" cy="995905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15270358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133</xdr:row>
      <xdr:rowOff>91440</xdr:rowOff>
    </xdr:from>
    <xdr:ext cx="769620" cy="769620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15300838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145</xdr:row>
      <xdr:rowOff>91440</xdr:rowOff>
    </xdr:from>
    <xdr:ext cx="769620" cy="769620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20304332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145</xdr:row>
      <xdr:rowOff>60960</xdr:rowOff>
    </xdr:from>
    <xdr:ext cx="2247900" cy="995905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20273852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145</xdr:row>
      <xdr:rowOff>91440</xdr:rowOff>
    </xdr:from>
    <xdr:ext cx="769620" cy="769620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0304332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145</xdr:row>
      <xdr:rowOff>60960</xdr:rowOff>
    </xdr:from>
    <xdr:ext cx="2247900" cy="995905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20273852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145</xdr:row>
      <xdr:rowOff>91440</xdr:rowOff>
    </xdr:from>
    <xdr:ext cx="769620" cy="769620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0304332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157</xdr:row>
      <xdr:rowOff>91440</xdr:rowOff>
    </xdr:from>
    <xdr:ext cx="769620" cy="769620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25307826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157</xdr:row>
      <xdr:rowOff>60960</xdr:rowOff>
    </xdr:from>
    <xdr:ext cx="2247900" cy="995905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25277346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157</xdr:row>
      <xdr:rowOff>91440</xdr:rowOff>
    </xdr:from>
    <xdr:ext cx="769620" cy="769620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5307826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157</xdr:row>
      <xdr:rowOff>60960</xdr:rowOff>
    </xdr:from>
    <xdr:ext cx="2247900" cy="995905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25277346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157</xdr:row>
      <xdr:rowOff>91440</xdr:rowOff>
    </xdr:from>
    <xdr:ext cx="769620" cy="769620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5307826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169</xdr:row>
      <xdr:rowOff>91440</xdr:rowOff>
    </xdr:from>
    <xdr:ext cx="769620" cy="769620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3031132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169</xdr:row>
      <xdr:rowOff>60960</xdr:rowOff>
    </xdr:from>
    <xdr:ext cx="2247900" cy="995905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8854" y="3028084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169</xdr:row>
      <xdr:rowOff>91440</xdr:rowOff>
    </xdr:from>
    <xdr:ext cx="769620" cy="769620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3031132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169</xdr:row>
      <xdr:rowOff>60960</xdr:rowOff>
    </xdr:from>
    <xdr:ext cx="2247900" cy="995905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1987" y="3028084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169</xdr:row>
      <xdr:rowOff>91440</xdr:rowOff>
    </xdr:from>
    <xdr:ext cx="769620" cy="769620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3031132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121</xdr:row>
      <xdr:rowOff>91440</xdr:rowOff>
    </xdr:from>
    <xdr:ext cx="769620" cy="769620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10297344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133</xdr:row>
      <xdr:rowOff>91440</xdr:rowOff>
    </xdr:from>
    <xdr:ext cx="769620" cy="769620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15300838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133</xdr:row>
      <xdr:rowOff>91440</xdr:rowOff>
    </xdr:from>
    <xdr:ext cx="769620" cy="769620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15300838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145</xdr:row>
      <xdr:rowOff>91440</xdr:rowOff>
    </xdr:from>
    <xdr:ext cx="769620" cy="769620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20304332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145</xdr:row>
      <xdr:rowOff>91440</xdr:rowOff>
    </xdr:from>
    <xdr:ext cx="769620" cy="769620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0304332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157</xdr:row>
      <xdr:rowOff>91440</xdr:rowOff>
    </xdr:from>
    <xdr:ext cx="769620" cy="769620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25307826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157</xdr:row>
      <xdr:rowOff>91440</xdr:rowOff>
    </xdr:from>
    <xdr:ext cx="769620" cy="769620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25307826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169</xdr:row>
      <xdr:rowOff>91440</xdr:rowOff>
    </xdr:from>
    <xdr:ext cx="769620" cy="769620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3623" y="3031132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169</xdr:row>
      <xdr:rowOff>91440</xdr:rowOff>
    </xdr:from>
    <xdr:ext cx="769620" cy="769620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6755" y="3031132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2727960</xdr:colOff>
      <xdr:row>1</xdr:row>
      <xdr:rowOff>91440</xdr:rowOff>
    </xdr:from>
    <xdr:to>
      <xdr:col>2</xdr:col>
      <xdr:colOff>3497580</xdr:colOff>
      <xdr:row>4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0240" y="281940"/>
          <a:ext cx="769620" cy="769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15240</xdr:colOff>
      <xdr:row>1</xdr:row>
      <xdr:rowOff>60960</xdr:rowOff>
    </xdr:from>
    <xdr:to>
      <xdr:col>1</xdr:col>
      <xdr:colOff>2263140</xdr:colOff>
      <xdr:row>5</xdr:row>
      <xdr:rowOff>188185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2880" y="251460"/>
          <a:ext cx="2247900" cy="99590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5</xdr:col>
      <xdr:colOff>2727960</xdr:colOff>
      <xdr:row>1</xdr:row>
      <xdr:rowOff>129540</xdr:rowOff>
    </xdr:from>
    <xdr:ext cx="769620" cy="7696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0" y="3200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</xdr:row>
      <xdr:rowOff>99060</xdr:rowOff>
    </xdr:from>
    <xdr:ext cx="2247900" cy="99590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06640" y="2895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13</xdr:row>
      <xdr:rowOff>129540</xdr:rowOff>
    </xdr:from>
    <xdr:ext cx="769620" cy="7696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0240" y="589026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13</xdr:row>
      <xdr:rowOff>86360</xdr:rowOff>
    </xdr:from>
    <xdr:ext cx="2247900" cy="99590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2880" y="584708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</xdr:row>
      <xdr:rowOff>129540</xdr:rowOff>
    </xdr:from>
    <xdr:ext cx="769620" cy="76962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0" y="589026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13</xdr:row>
      <xdr:rowOff>99060</xdr:rowOff>
    </xdr:from>
    <xdr:ext cx="2247900" cy="99590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06640" y="585978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25</xdr:row>
      <xdr:rowOff>91440</xdr:rowOff>
    </xdr:from>
    <xdr:ext cx="769620" cy="76962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0240" y="1142238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25</xdr:row>
      <xdr:rowOff>60960</xdr:rowOff>
    </xdr:from>
    <xdr:ext cx="2247900" cy="99590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2880" y="1139190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25</xdr:row>
      <xdr:rowOff>91440</xdr:rowOff>
    </xdr:from>
    <xdr:ext cx="769620" cy="76962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0" y="1142238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25</xdr:row>
      <xdr:rowOff>60960</xdr:rowOff>
    </xdr:from>
    <xdr:ext cx="2247900" cy="995905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06640" y="1139190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37</xdr:row>
      <xdr:rowOff>91440</xdr:rowOff>
    </xdr:from>
    <xdr:ext cx="769620" cy="807720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37</xdr:row>
      <xdr:rowOff>60960</xdr:rowOff>
    </xdr:from>
    <xdr:ext cx="2247900" cy="1041625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264160"/>
          <a:ext cx="224790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37</xdr:row>
      <xdr:rowOff>129540</xdr:rowOff>
    </xdr:from>
    <xdr:ext cx="769620" cy="769620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3327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37</xdr:row>
      <xdr:rowOff>99060</xdr:rowOff>
    </xdr:from>
    <xdr:ext cx="2247900" cy="995905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3022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49</xdr:row>
      <xdr:rowOff>129540</xdr:rowOff>
    </xdr:from>
    <xdr:ext cx="769620" cy="76962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5958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49</xdr:row>
      <xdr:rowOff>86360</xdr:rowOff>
    </xdr:from>
    <xdr:ext cx="2247900" cy="995905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59156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49</xdr:row>
      <xdr:rowOff>129540</xdr:rowOff>
    </xdr:from>
    <xdr:ext cx="769620" cy="769620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5958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49</xdr:row>
      <xdr:rowOff>99060</xdr:rowOff>
    </xdr:from>
    <xdr:ext cx="2247900" cy="995905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5928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61</xdr:row>
      <xdr:rowOff>91440</xdr:rowOff>
    </xdr:from>
    <xdr:ext cx="769620" cy="76962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1154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61</xdr:row>
      <xdr:rowOff>60960</xdr:rowOff>
    </xdr:from>
    <xdr:ext cx="2247900" cy="995905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1151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61</xdr:row>
      <xdr:rowOff>91440</xdr:rowOff>
    </xdr:from>
    <xdr:ext cx="769620" cy="76962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1154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61</xdr:row>
      <xdr:rowOff>60960</xdr:rowOff>
    </xdr:from>
    <xdr:ext cx="2247900" cy="995905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1151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73</xdr:row>
      <xdr:rowOff>91440</xdr:rowOff>
    </xdr:from>
    <xdr:ext cx="769620" cy="807720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73</xdr:row>
      <xdr:rowOff>60960</xdr:rowOff>
    </xdr:from>
    <xdr:ext cx="2247900" cy="1041625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264160"/>
          <a:ext cx="224790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73</xdr:row>
      <xdr:rowOff>129540</xdr:rowOff>
    </xdr:from>
    <xdr:ext cx="769620" cy="769620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3327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73</xdr:row>
      <xdr:rowOff>99060</xdr:rowOff>
    </xdr:from>
    <xdr:ext cx="2247900" cy="995905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3022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85</xdr:row>
      <xdr:rowOff>129540</xdr:rowOff>
    </xdr:from>
    <xdr:ext cx="769620" cy="769620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5958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85</xdr:row>
      <xdr:rowOff>86360</xdr:rowOff>
    </xdr:from>
    <xdr:ext cx="2247900" cy="995905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59156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85</xdr:row>
      <xdr:rowOff>129540</xdr:rowOff>
    </xdr:from>
    <xdr:ext cx="769620" cy="769620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5958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85</xdr:row>
      <xdr:rowOff>99060</xdr:rowOff>
    </xdr:from>
    <xdr:ext cx="2247900" cy="995905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5928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97</xdr:row>
      <xdr:rowOff>91440</xdr:rowOff>
    </xdr:from>
    <xdr:ext cx="769620" cy="769620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1154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97</xdr:row>
      <xdr:rowOff>60960</xdr:rowOff>
    </xdr:from>
    <xdr:ext cx="2247900" cy="995905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1151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97</xdr:row>
      <xdr:rowOff>91440</xdr:rowOff>
    </xdr:from>
    <xdr:ext cx="769620" cy="769620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1154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97</xdr:row>
      <xdr:rowOff>60960</xdr:rowOff>
    </xdr:from>
    <xdr:ext cx="2247900" cy="995905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1151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109</xdr:row>
      <xdr:rowOff>91440</xdr:rowOff>
    </xdr:from>
    <xdr:ext cx="769620" cy="807720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294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109</xdr:row>
      <xdr:rowOff>60960</xdr:rowOff>
    </xdr:from>
    <xdr:ext cx="2247900" cy="1041625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264160"/>
          <a:ext cx="224790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109</xdr:row>
      <xdr:rowOff>129540</xdr:rowOff>
    </xdr:from>
    <xdr:ext cx="769620" cy="769620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3327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109</xdr:row>
      <xdr:rowOff>99060</xdr:rowOff>
    </xdr:from>
    <xdr:ext cx="2247900" cy="995905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3022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121</xdr:row>
      <xdr:rowOff>129540</xdr:rowOff>
    </xdr:from>
    <xdr:ext cx="769620" cy="769620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5958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121</xdr:row>
      <xdr:rowOff>86360</xdr:rowOff>
    </xdr:from>
    <xdr:ext cx="2247900" cy="995905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59156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121</xdr:row>
      <xdr:rowOff>129540</xdr:rowOff>
    </xdr:from>
    <xdr:ext cx="769620" cy="769620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5958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121</xdr:row>
      <xdr:rowOff>99060</xdr:rowOff>
    </xdr:from>
    <xdr:ext cx="2247900" cy="995905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5928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133</xdr:row>
      <xdr:rowOff>91440</xdr:rowOff>
    </xdr:from>
    <xdr:ext cx="769620" cy="769620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1154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133</xdr:row>
      <xdr:rowOff>60960</xdr:rowOff>
    </xdr:from>
    <xdr:ext cx="2247900" cy="995905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1151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133</xdr:row>
      <xdr:rowOff>91440</xdr:rowOff>
    </xdr:from>
    <xdr:ext cx="769620" cy="769620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1154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133</xdr:row>
      <xdr:rowOff>60960</xdr:rowOff>
    </xdr:from>
    <xdr:ext cx="2247900" cy="995905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1151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145</xdr:row>
      <xdr:rowOff>91440</xdr:rowOff>
    </xdr:from>
    <xdr:ext cx="769620" cy="807720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49062640"/>
          <a:ext cx="769620" cy="8077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145</xdr:row>
      <xdr:rowOff>60960</xdr:rowOff>
    </xdr:from>
    <xdr:ext cx="2247900" cy="1041625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49032160"/>
          <a:ext cx="2247900" cy="1041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145</xdr:row>
      <xdr:rowOff>129540</xdr:rowOff>
    </xdr:from>
    <xdr:ext cx="769620" cy="769620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491007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145</xdr:row>
      <xdr:rowOff>99060</xdr:rowOff>
    </xdr:from>
    <xdr:ext cx="2247900" cy="995905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490702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157</xdr:row>
      <xdr:rowOff>129540</xdr:rowOff>
    </xdr:from>
    <xdr:ext cx="769620" cy="769620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5472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157</xdr:row>
      <xdr:rowOff>86360</xdr:rowOff>
    </xdr:from>
    <xdr:ext cx="2247900" cy="995905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546836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157</xdr:row>
      <xdr:rowOff>129540</xdr:rowOff>
    </xdr:from>
    <xdr:ext cx="769620" cy="769620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54726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157</xdr:row>
      <xdr:rowOff>99060</xdr:rowOff>
    </xdr:from>
    <xdr:ext cx="2247900" cy="995905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54696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2727960</xdr:colOff>
      <xdr:row>169</xdr:row>
      <xdr:rowOff>91440</xdr:rowOff>
    </xdr:from>
    <xdr:ext cx="769620" cy="769620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68060" y="60314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15240</xdr:colOff>
      <xdr:row>169</xdr:row>
      <xdr:rowOff>60960</xdr:rowOff>
    </xdr:from>
    <xdr:ext cx="2247900" cy="995905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5740" y="60284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2727960</xdr:colOff>
      <xdr:row>169</xdr:row>
      <xdr:rowOff>91440</xdr:rowOff>
    </xdr:from>
    <xdr:ext cx="769620" cy="769620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94460" y="60314840"/>
          <a:ext cx="769620" cy="7696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15240</xdr:colOff>
      <xdr:row>169</xdr:row>
      <xdr:rowOff>60960</xdr:rowOff>
    </xdr:from>
    <xdr:ext cx="2247900" cy="995905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32140" y="60284360"/>
          <a:ext cx="2247900" cy="99590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423" displayName="Table1423" ref="B8:D25" totalsRowShown="0" headerRowDxfId="562" dataDxfId="560" headerRowBorderDxfId="561" tableBorderDxfId="559">
  <autoFilter ref="B8:D25" xr:uid="{00000000-0009-0000-0100-000002000000}"/>
  <tableColumns count="3">
    <tableColumn id="1" xr3:uid="{00000000-0010-0000-0100-000001000000}" name="Pin 1" dataDxfId="558"/>
    <tableColumn id="2" xr3:uid="{00000000-0010-0000-0100-000002000000}" name="Pin 2" dataDxfId="557"/>
    <tableColumn id="7" xr3:uid="{00000000-0010-0000-0100-000007000000}" name="Description" dataDxfId="55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239395107" displayName="Table14239395107" ref="B33:D50" totalsRowShown="0" headerRowDxfId="555" dataDxfId="553" headerRowBorderDxfId="554" tableBorderDxfId="552">
  <autoFilter ref="B33:D50" xr:uid="{00000000-0009-0000-0100-000003000000}"/>
  <tableColumns count="3">
    <tableColumn id="1" xr3:uid="{00000000-0010-0000-0200-000001000000}" name="Pin 1" dataDxfId="551"/>
    <tableColumn id="2" xr3:uid="{00000000-0010-0000-0200-000002000000}" name="Pin 2" dataDxfId="550"/>
    <tableColumn id="7" xr3:uid="{00000000-0010-0000-0200-000007000000}" name="Description" dataDxfId="549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4239395108" displayName="Table14239395108" ref="F8:H25" totalsRowShown="0" headerRowDxfId="548" dataDxfId="546" headerRowBorderDxfId="547" tableBorderDxfId="545">
  <autoFilter ref="F8:H25" xr:uid="{00000000-0009-0000-0100-000004000000}"/>
  <tableColumns count="3">
    <tableColumn id="1" xr3:uid="{00000000-0010-0000-0300-000001000000}" name="Pin 1" dataDxfId="544"/>
    <tableColumn id="2" xr3:uid="{00000000-0010-0000-0300-000002000000}" name="Pin 2" dataDxfId="543"/>
    <tableColumn id="7" xr3:uid="{00000000-0010-0000-0300-000007000000}" name="Description" dataDxfId="542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423939510845" displayName="Table1423939510845" ref="F33:H50" totalsRowShown="0" headerRowDxfId="541" dataDxfId="539" headerRowBorderDxfId="540" tableBorderDxfId="538">
  <autoFilter ref="F33:H50" xr:uid="{00000000-0009-0000-0100-000005000000}"/>
  <tableColumns count="3">
    <tableColumn id="1" xr3:uid="{00000000-0010-0000-0400-000001000000}" name="Pin 1" dataDxfId="537"/>
    <tableColumn id="2" xr3:uid="{00000000-0010-0000-0400-000002000000}" name="Pin 2" dataDxfId="536"/>
    <tableColumn id="7" xr3:uid="{00000000-0010-0000-0400-000007000000}" name="Description" dataDxfId="535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42393951084546" displayName="Table142393951084546" ref="F58:H75" totalsRowShown="0" headerRowDxfId="534" dataDxfId="532" headerRowBorderDxfId="533" tableBorderDxfId="531">
  <autoFilter ref="F58:H75" xr:uid="{00000000-0009-0000-0100-000006000000}"/>
  <tableColumns count="3">
    <tableColumn id="1" xr3:uid="{00000000-0010-0000-0500-000001000000}" name="Pin 1" dataDxfId="530"/>
    <tableColumn id="2" xr3:uid="{00000000-0010-0000-0500-000002000000}" name="Pin 2" dataDxfId="529"/>
    <tableColumn id="7" xr3:uid="{00000000-0010-0000-0500-000007000000}" name="Description" dataDxfId="528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42393951084547" displayName="Table142393951084547" ref="F158:H175" totalsRowShown="0" headerRowDxfId="527" dataDxfId="525" headerRowBorderDxfId="526" tableBorderDxfId="524">
  <autoFilter ref="F158:H175" xr:uid="{00000000-0009-0000-0100-000007000000}"/>
  <tableColumns count="3">
    <tableColumn id="1" xr3:uid="{00000000-0010-0000-0600-000001000000}" name="Pin 1" dataDxfId="523"/>
    <tableColumn id="2" xr3:uid="{00000000-0010-0000-0600-000002000000}" name="Pin 2" dataDxfId="522"/>
    <tableColumn id="7" xr3:uid="{00000000-0010-0000-0600-000007000000}" name="Description" dataDxfId="521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42348" displayName="Table142348" ref="B183:D200" totalsRowShown="0" headerRowDxfId="520" dataDxfId="518" headerRowBorderDxfId="519" tableBorderDxfId="517">
  <autoFilter ref="B183:D200" xr:uid="{00000000-0009-0000-0100-000008000000}"/>
  <tableColumns count="3">
    <tableColumn id="1" xr3:uid="{00000000-0010-0000-0700-000001000000}" name="Pin 1" dataDxfId="516"/>
    <tableColumn id="2" xr3:uid="{00000000-0010-0000-0700-000002000000}" name="Pin 2" dataDxfId="515"/>
    <tableColumn id="7" xr3:uid="{00000000-0010-0000-0700-000007000000}" name="Description" dataDxfId="514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423939510749" displayName="Table1423939510749" ref="B208:D225" totalsRowShown="0" headerRowDxfId="513" dataDxfId="511" headerRowBorderDxfId="512" tableBorderDxfId="510">
  <autoFilter ref="B208:D225" xr:uid="{00000000-0009-0000-0100-000009000000}"/>
  <tableColumns count="3">
    <tableColumn id="1" xr3:uid="{00000000-0010-0000-0800-000001000000}" name="Pin 1" dataDxfId="509"/>
    <tableColumn id="2" xr3:uid="{00000000-0010-0000-0800-000002000000}" name="Pin 2" dataDxfId="508"/>
    <tableColumn id="7" xr3:uid="{00000000-0010-0000-0800-000007000000}" name="Description" dataDxfId="507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423939510850" displayName="Table1423939510850" ref="F183:H200" totalsRowShown="0" headerRowDxfId="506" dataDxfId="504" headerRowBorderDxfId="505" tableBorderDxfId="503">
  <autoFilter ref="F183:H200" xr:uid="{00000000-0009-0000-0100-00000A000000}"/>
  <tableColumns count="3">
    <tableColumn id="1" xr3:uid="{00000000-0010-0000-0900-000001000000}" name="Pin 1" dataDxfId="502"/>
    <tableColumn id="2" xr3:uid="{00000000-0010-0000-0900-000002000000}" name="Pin 2" dataDxfId="501"/>
    <tableColumn id="7" xr3:uid="{00000000-0010-0000-0900-000007000000}" name="Description" dataDxfId="500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42393951084551" displayName="Table142393951084551" ref="F208:H225" totalsRowShown="0" headerRowDxfId="499" dataDxfId="497" headerRowBorderDxfId="498" tableBorderDxfId="496">
  <autoFilter ref="F208:H225" xr:uid="{00000000-0009-0000-0100-00000B000000}"/>
  <tableColumns count="3">
    <tableColumn id="1" xr3:uid="{00000000-0010-0000-0A00-000001000000}" name="Pin 1" dataDxfId="495"/>
    <tableColumn id="2" xr3:uid="{00000000-0010-0000-0A00-000002000000}" name="Pin 2" dataDxfId="494"/>
    <tableColumn id="7" xr3:uid="{00000000-0010-0000-0A00-000007000000}" name="Description" dataDxfId="493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4239395108454652" displayName="Table14239395108454652" ref="F233:H250" totalsRowShown="0" headerRowDxfId="492" dataDxfId="490" headerRowBorderDxfId="491" tableBorderDxfId="489">
  <autoFilter ref="F233:H250" xr:uid="{00000000-0009-0000-0100-00000C000000}"/>
  <tableColumns count="3">
    <tableColumn id="1" xr3:uid="{00000000-0010-0000-0B00-000001000000}" name="Pin 1" dataDxfId="488"/>
    <tableColumn id="2" xr3:uid="{00000000-0010-0000-0B00-000002000000}" name="Pin 2" dataDxfId="487"/>
    <tableColumn id="7" xr3:uid="{00000000-0010-0000-0B00-000007000000}" name="Description" dataDxfId="486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4239395108454753" displayName="Table14239395108454753" ref="F333:H350" totalsRowShown="0" headerRowDxfId="485" dataDxfId="483" headerRowBorderDxfId="484" tableBorderDxfId="482">
  <autoFilter ref="F333:H350" xr:uid="{00000000-0009-0000-0100-00000D000000}"/>
  <tableColumns count="3">
    <tableColumn id="1" xr3:uid="{00000000-0010-0000-0C00-000001000000}" name="Pin 1" dataDxfId="481"/>
    <tableColumn id="2" xr3:uid="{00000000-0010-0000-0C00-000002000000}" name="Pin 2" dataDxfId="480"/>
    <tableColumn id="7" xr3:uid="{00000000-0010-0000-0C00-000007000000}" name="Description" dataDxfId="479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23939510845475354" displayName="Table1423939510845475354" ref="F358:H375" totalsRowShown="0" headerRowDxfId="478" dataDxfId="476" headerRowBorderDxfId="477" tableBorderDxfId="475">
  <autoFilter ref="F358:H375" xr:uid="{00000000-0009-0000-0100-00000E000000}"/>
  <tableColumns count="3">
    <tableColumn id="1" xr3:uid="{00000000-0010-0000-0D00-000001000000}" name="Pin 1" dataDxfId="474"/>
    <tableColumn id="2" xr3:uid="{00000000-0010-0000-0D00-000002000000}" name="Pin 2" dataDxfId="473"/>
    <tableColumn id="7" xr3:uid="{00000000-0010-0000-0D00-000007000000}" name="Description" dataDxfId="472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423568121314199899101" displayName="Table1423568121314199899101" ref="B86:D103" totalsRowShown="0" headerRowDxfId="471" headerRowBorderDxfId="470" tableBorderDxfId="469">
  <autoFilter ref="B86:D103" xr:uid="{00000000-0009-0000-0100-00000F000000}"/>
  <tableColumns count="3">
    <tableColumn id="1" xr3:uid="{00000000-0010-0000-0E00-000001000000}" name="Position" dataDxfId="468"/>
    <tableColumn id="2" xr3:uid="{00000000-0010-0000-0E00-000002000000}" name="Zones" dataDxfId="467"/>
    <tableColumn id="7" xr3:uid="{00000000-0010-0000-0E00-000007000000}" name="Description" dataDxfId="466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4235681213" displayName="Table14235681213" ref="B34:D51" totalsRowShown="0" headerRowDxfId="465" headerRowBorderDxfId="464" tableBorderDxfId="463">
  <autoFilter ref="B34:D51" xr:uid="{00000000-0009-0000-0100-000010000000}"/>
  <tableColumns count="3">
    <tableColumn id="1" xr3:uid="{00000000-0010-0000-0F00-000001000000}" name="Position" dataDxfId="462"/>
    <tableColumn id="2" xr3:uid="{00000000-0010-0000-0F00-000002000000}" name="Zones" dataDxfId="461"/>
    <tableColumn id="7" xr3:uid="{00000000-0010-0000-0F00-000007000000}" name="Description" dataDxfId="460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423568121314199899" displayName="Table1423568121314199899" ref="B60:D77" totalsRowShown="0" headerRowDxfId="459" headerRowBorderDxfId="458" tableBorderDxfId="457">
  <autoFilter ref="B60:D77" xr:uid="{00000000-0009-0000-0100-000011000000}"/>
  <tableColumns count="3">
    <tableColumn id="1" xr3:uid="{00000000-0010-0000-1000-000001000000}" name="Position" dataDxfId="456"/>
    <tableColumn id="2" xr3:uid="{00000000-0010-0000-1000-000002000000}" name="Zones" dataDxfId="455"/>
    <tableColumn id="7" xr3:uid="{00000000-0010-0000-1000-000007000000}" name="Description" dataDxfId="454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423568121343" displayName="Table1423568121343" ref="B8:D25" totalsRowShown="0" headerRowDxfId="453" headerRowBorderDxfId="452" tableBorderDxfId="451">
  <autoFilter ref="B8:D25" xr:uid="{00000000-0009-0000-0100-000012000000}"/>
  <tableColumns count="3">
    <tableColumn id="1" xr3:uid="{00000000-0010-0000-1100-000001000000}" name="Position" dataDxfId="450"/>
    <tableColumn id="2" xr3:uid="{00000000-0010-0000-1100-000002000000}" name="Zones" dataDxfId="449"/>
    <tableColumn id="7" xr3:uid="{00000000-0010-0000-1100-000007000000}" name="Description" dataDxfId="448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42356812131419" displayName="Table142356812131419" ref="F34:H51" totalsRowShown="0" headerRowDxfId="447" headerRowBorderDxfId="446" tableBorderDxfId="445">
  <autoFilter ref="F34:H51" xr:uid="{00000000-0009-0000-0100-000013000000}"/>
  <tableColumns count="3">
    <tableColumn id="1" xr3:uid="{00000000-0010-0000-1200-000001000000}" name="Position" dataDxfId="444"/>
    <tableColumn id="2" xr3:uid="{00000000-0010-0000-1200-000002000000}" name="Zones" dataDxfId="443"/>
    <tableColumn id="7" xr3:uid="{00000000-0010-0000-1200-000007000000}" name="Description" dataDxfId="442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14235681213141998" displayName="Table14235681213141998" ref="F60:H77" totalsRowShown="0" headerRowDxfId="441" headerRowBorderDxfId="440" tableBorderDxfId="439">
  <autoFilter ref="F60:H77" xr:uid="{00000000-0009-0000-0100-000014000000}"/>
  <tableColumns count="3">
    <tableColumn id="1" xr3:uid="{00000000-0010-0000-1300-000001000000}" name="Position" dataDxfId="438"/>
    <tableColumn id="2" xr3:uid="{00000000-0010-0000-1300-000002000000}" name="Zones" dataDxfId="437"/>
    <tableColumn id="7" xr3:uid="{00000000-0010-0000-1300-000007000000}" name="Description" dataDxfId="436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14235681213141998100" displayName="Table14235681213141998100" ref="F86:H103" totalsRowShown="0" headerRowDxfId="435" headerRowBorderDxfId="434" tableBorderDxfId="433">
  <autoFilter ref="F86:H103" xr:uid="{00000000-0009-0000-0100-000015000000}"/>
  <tableColumns count="3">
    <tableColumn id="1" xr3:uid="{00000000-0010-0000-1400-000001000000}" name="Position" dataDxfId="432"/>
    <tableColumn id="2" xr3:uid="{00000000-0010-0000-1400-000002000000}" name="Zones" dataDxfId="431"/>
    <tableColumn id="7" xr3:uid="{00000000-0010-0000-1400-000007000000}" name="Description" dataDxfId="430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14235681213141944" displayName="Table14235681213141944" ref="F8:H25" totalsRowShown="0" headerRowDxfId="429" headerRowBorderDxfId="428" tableBorderDxfId="427">
  <autoFilter ref="F8:H25" xr:uid="{00000000-0009-0000-0100-000016000000}"/>
  <tableColumns count="3">
    <tableColumn id="1" xr3:uid="{00000000-0010-0000-1500-000001000000}" name="Position" dataDxfId="426"/>
    <tableColumn id="2" xr3:uid="{00000000-0010-0000-1500-000002000000}" name="Zones" dataDxfId="425"/>
    <tableColumn id="7" xr3:uid="{00000000-0010-0000-1500-000007000000}" name="Description" dataDxfId="424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142356812131419989910154" displayName="Table142356812131419989910154" ref="B319:D336" totalsRowShown="0" headerRowDxfId="423" headerRowBorderDxfId="422" tableBorderDxfId="421">
  <autoFilter ref="B319:D336" xr:uid="{00000000-0009-0000-0100-000017000000}"/>
  <tableColumns count="3">
    <tableColumn id="1" xr3:uid="{00000000-0010-0000-1600-000001000000}" name="Position" dataDxfId="420"/>
    <tableColumn id="2" xr3:uid="{00000000-0010-0000-1600-000002000000}" name="Zones" dataDxfId="419"/>
    <tableColumn id="7" xr3:uid="{00000000-0010-0000-1600-000007000000}" name="Description" dataDxfId="418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1423568121355" displayName="Table1423568121355" ref="B267:D284" totalsRowShown="0" headerRowDxfId="417" headerRowBorderDxfId="416" tableBorderDxfId="415">
  <autoFilter ref="B267:D284" xr:uid="{00000000-0009-0000-0100-000018000000}"/>
  <tableColumns count="3">
    <tableColumn id="1" xr3:uid="{00000000-0010-0000-1700-000001000000}" name="Position" dataDxfId="414"/>
    <tableColumn id="2" xr3:uid="{00000000-0010-0000-1700-000002000000}" name="Zones" dataDxfId="413"/>
    <tableColumn id="7" xr3:uid="{00000000-0010-0000-1700-000007000000}" name="Description" dataDxfId="412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142356812131419989956" displayName="Table142356812131419989956" ref="B293:D310" totalsRowShown="0" headerRowDxfId="411" headerRowBorderDxfId="410" tableBorderDxfId="409">
  <autoFilter ref="B293:D310" xr:uid="{00000000-0009-0000-0100-000019000000}"/>
  <tableColumns count="3">
    <tableColumn id="1" xr3:uid="{00000000-0010-0000-1800-000001000000}" name="Position" dataDxfId="408"/>
    <tableColumn id="2" xr3:uid="{00000000-0010-0000-1800-000002000000}" name="Zones" dataDxfId="407"/>
    <tableColumn id="7" xr3:uid="{00000000-0010-0000-1800-000007000000}" name="Description" dataDxfId="406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142356812134357" displayName="Table142356812134357" ref="B241:D258" totalsRowShown="0" headerRowDxfId="405" headerRowBorderDxfId="404" tableBorderDxfId="403">
  <autoFilter ref="B241:D258" xr:uid="{00000000-0009-0000-0100-00001A000000}"/>
  <tableColumns count="3">
    <tableColumn id="1" xr3:uid="{00000000-0010-0000-1900-000001000000}" name="Position" dataDxfId="402"/>
    <tableColumn id="2" xr3:uid="{00000000-0010-0000-1900-000002000000}" name="Zones" dataDxfId="401"/>
    <tableColumn id="7" xr3:uid="{00000000-0010-0000-1900-000007000000}" name="Description" dataDxfId="400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14235681213141958" displayName="Table14235681213141958" ref="F267:H284" totalsRowShown="0" headerRowDxfId="399" headerRowBorderDxfId="398" tableBorderDxfId="397">
  <autoFilter ref="F267:H284" xr:uid="{00000000-0009-0000-0100-00001B000000}"/>
  <tableColumns count="3">
    <tableColumn id="1" xr3:uid="{00000000-0010-0000-1A00-000001000000}" name="Position" dataDxfId="396"/>
    <tableColumn id="2" xr3:uid="{00000000-0010-0000-1A00-000002000000}" name="Zones" dataDxfId="395"/>
    <tableColumn id="7" xr3:uid="{00000000-0010-0000-1A00-000007000000}" name="Description" dataDxfId="394"/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1423568121314199859" displayName="Table1423568121314199859" ref="F293:H310" totalsRowShown="0" headerRowDxfId="393" headerRowBorderDxfId="392" tableBorderDxfId="391">
  <autoFilter ref="F293:H310" xr:uid="{00000000-0009-0000-0100-00001C000000}"/>
  <tableColumns count="3">
    <tableColumn id="1" xr3:uid="{00000000-0010-0000-1B00-000001000000}" name="Position" dataDxfId="390"/>
    <tableColumn id="2" xr3:uid="{00000000-0010-0000-1B00-000002000000}" name="Zones" dataDxfId="389"/>
    <tableColumn id="7" xr3:uid="{00000000-0010-0000-1B00-000007000000}" name="Description" dataDxfId="388"/>
  </tableColumns>
  <tableStyleInfo name="TableStyleLight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1423568121314199810060" displayName="Table1423568121314199810060" ref="F319:H336" totalsRowShown="0" headerRowDxfId="387" headerRowBorderDxfId="386" tableBorderDxfId="385">
  <autoFilter ref="F319:H336" xr:uid="{00000000-0009-0000-0100-00001D000000}"/>
  <tableColumns count="3">
    <tableColumn id="1" xr3:uid="{00000000-0010-0000-1C00-000001000000}" name="Position" dataDxfId="384"/>
    <tableColumn id="2" xr3:uid="{00000000-0010-0000-1C00-000002000000}" name="Zones" dataDxfId="383"/>
    <tableColumn id="7" xr3:uid="{00000000-0010-0000-1C00-000007000000}" name="Description" dataDxfId="382"/>
  </tableColumns>
  <tableStyleInfo name="TableStyleLight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1423568121314194461" displayName="Table1423568121314194461" ref="F241:H258" totalsRowShown="0" headerRowDxfId="381" headerRowBorderDxfId="380" tableBorderDxfId="379">
  <autoFilter ref="F241:H258" xr:uid="{00000000-0009-0000-0100-00001E000000}"/>
  <tableColumns count="3">
    <tableColumn id="1" xr3:uid="{00000000-0010-0000-1D00-000001000000}" name="Position" dataDxfId="378"/>
    <tableColumn id="2" xr3:uid="{00000000-0010-0000-1D00-000002000000}" name="Zones" dataDxfId="377"/>
    <tableColumn id="7" xr3:uid="{00000000-0010-0000-1D00-000007000000}" name="Description" dataDxfId="376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142356710" displayName="Table142356710" ref="B8:C12" totalsRowShown="0" headerRowDxfId="375" dataDxfId="373" headerRowBorderDxfId="374" tableBorderDxfId="372">
  <autoFilter ref="B8:C12" xr:uid="{00000000-0009-0000-0100-00001F000000}"/>
  <tableColumns count="2">
    <tableColumn id="1" xr3:uid="{00000000-0010-0000-1E00-000001000000}" name="Position" dataDxfId="371"/>
    <tableColumn id="7" xr3:uid="{00000000-0010-0000-1E00-000007000000}" name="Description" dataDxfId="370"/>
  </tableColumns>
  <tableStyleInfo name="TableStyleLight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14235671062" displayName="Table14235671062" ref="B20:C24" totalsRowShown="0" headerRowDxfId="369" dataDxfId="367" headerRowBorderDxfId="368" tableBorderDxfId="366">
  <autoFilter ref="B20:C24" xr:uid="{00000000-0009-0000-0100-000020000000}"/>
  <tableColumns count="2">
    <tableColumn id="1" xr3:uid="{00000000-0010-0000-1F00-000001000000}" name="Position" dataDxfId="365"/>
    <tableColumn id="7" xr3:uid="{00000000-0010-0000-1F00-000007000000}" name="Description" dataDxfId="364"/>
  </tableColumns>
  <tableStyleInfo name="TableStyleLight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142356710121" displayName="Table142356710121" ref="E8:F12" totalsRowShown="0" headerRowDxfId="363" dataDxfId="361" headerRowBorderDxfId="362" tableBorderDxfId="360">
  <autoFilter ref="E8:F12" xr:uid="{00000000-0009-0000-0100-000021000000}"/>
  <tableColumns count="2">
    <tableColumn id="1" xr3:uid="{00000000-0010-0000-2000-000001000000}" name="Position" dataDxfId="359"/>
    <tableColumn id="7" xr3:uid="{00000000-0010-0000-2000-000007000000}" name="Description" dataDxfId="358"/>
  </tableColumns>
  <tableStyleInfo name="TableStyleLight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14235671062122" displayName="Table14235671062122" ref="E20:F24" totalsRowShown="0" headerRowDxfId="357" dataDxfId="355" headerRowBorderDxfId="356" tableBorderDxfId="354">
  <autoFilter ref="E20:F24" xr:uid="{00000000-0009-0000-0100-000022000000}"/>
  <tableColumns count="2">
    <tableColumn id="1" xr3:uid="{00000000-0010-0000-2100-000001000000}" name="Position" dataDxfId="353"/>
    <tableColumn id="7" xr3:uid="{00000000-0010-0000-2100-000007000000}" name="Description" dataDxfId="352"/>
  </tableColumns>
  <tableStyleInfo name="TableStyleLight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1423567106264" displayName="Table1423567106264" ref="B32:C36" totalsRowShown="0" headerRowDxfId="351" dataDxfId="349" headerRowBorderDxfId="350" tableBorderDxfId="348">
  <autoFilter ref="B32:C36" xr:uid="{00000000-0009-0000-0100-000023000000}"/>
  <tableColumns count="2">
    <tableColumn id="1" xr3:uid="{00000000-0010-0000-2200-000001000000}" name="Position" dataDxfId="347"/>
    <tableColumn id="7" xr3:uid="{00000000-0010-0000-2200-000007000000}" name="Description" dataDxfId="346"/>
  </tableColumns>
  <tableStyleInfo name="TableStyleLight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1423567106264103" displayName="Table1423567106264103" ref="E32:F36" totalsRowShown="0" headerRowDxfId="345" dataDxfId="343" headerRowBorderDxfId="344" tableBorderDxfId="342">
  <autoFilter ref="E32:F36" xr:uid="{00000000-0009-0000-0100-000024000000}"/>
  <tableColumns count="2">
    <tableColumn id="1" xr3:uid="{00000000-0010-0000-2300-000001000000}" name="Position" dataDxfId="341"/>
    <tableColumn id="7" xr3:uid="{00000000-0010-0000-2300-000007000000}" name="Description" dataDxfId="340"/>
  </tableColumns>
  <tableStyleInfo name="TableStyleLight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1423567106264129" displayName="Table1423567106264129" ref="B44:C48" totalsRowShown="0" headerRowDxfId="339" dataDxfId="337" headerRowBorderDxfId="338" tableBorderDxfId="336">
  <autoFilter ref="B44:C48" xr:uid="{00000000-0009-0000-0100-000025000000}"/>
  <tableColumns count="2">
    <tableColumn id="1" xr3:uid="{00000000-0010-0000-2400-000001000000}" name="Position" dataDxfId="335"/>
    <tableColumn id="7" xr3:uid="{00000000-0010-0000-2400-000007000000}" name="Description" dataDxfId="334"/>
  </tableColumns>
  <tableStyleInfo name="TableStyleLight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1423567106264103130" displayName="Table1423567106264103130" ref="E44:F48" totalsRowShown="0" headerRowDxfId="333" dataDxfId="331" headerRowBorderDxfId="332" tableBorderDxfId="330">
  <autoFilter ref="E44:F48" xr:uid="{00000000-0009-0000-0100-000026000000}"/>
  <tableColumns count="2">
    <tableColumn id="1" xr3:uid="{00000000-0010-0000-2500-000001000000}" name="Position" dataDxfId="329"/>
    <tableColumn id="7" xr3:uid="{00000000-0010-0000-2500-000007000000}" name="Description" dataDxfId="328"/>
  </tableColumns>
  <tableStyleInfo name="TableStyleLight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1423567106264129131" displayName="Table1423567106264129131" ref="B56:C60" totalsRowShown="0" headerRowDxfId="327" dataDxfId="325" headerRowBorderDxfId="326" tableBorderDxfId="324">
  <autoFilter ref="B56:C60" xr:uid="{00000000-0009-0000-0100-000027000000}"/>
  <tableColumns count="2">
    <tableColumn id="1" xr3:uid="{00000000-0010-0000-2600-000001000000}" name="Position" dataDxfId="323"/>
    <tableColumn id="7" xr3:uid="{00000000-0010-0000-2600-000007000000}" name="Description" dataDxfId="322"/>
  </tableColumns>
  <tableStyleInfo name="TableStyleLight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1423567106264103130132" displayName="Table1423567106264103130132" ref="E56:F60" totalsRowShown="0" headerRowDxfId="321" dataDxfId="319" headerRowBorderDxfId="320" tableBorderDxfId="318">
  <autoFilter ref="E56:F60" xr:uid="{00000000-0009-0000-0100-000028000000}"/>
  <tableColumns count="2">
    <tableColumn id="1" xr3:uid="{00000000-0010-0000-2700-000001000000}" name="Position" dataDxfId="317"/>
    <tableColumn id="7" xr3:uid="{00000000-0010-0000-2700-000007000000}" name="Description" dataDxfId="316"/>
  </tableColumns>
  <tableStyleInfo name="TableStyleLight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1423567106264129133" displayName="Table1423567106264129133" ref="B68:C72" totalsRowShown="0" headerRowDxfId="315" dataDxfId="313" headerRowBorderDxfId="314" tableBorderDxfId="312">
  <autoFilter ref="B68:C72" xr:uid="{00000000-0009-0000-0100-000029000000}"/>
  <tableColumns count="2">
    <tableColumn id="1" xr3:uid="{00000000-0010-0000-2800-000001000000}" name="Position" dataDxfId="311"/>
    <tableColumn id="7" xr3:uid="{00000000-0010-0000-2800-000007000000}" name="Description" dataDxfId="310"/>
  </tableColumns>
  <tableStyleInfo name="TableStyleLight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1423567106264103130134" displayName="Table1423567106264103130134" ref="E68:F72" totalsRowShown="0" headerRowDxfId="309" dataDxfId="307" headerRowBorderDxfId="308" tableBorderDxfId="306">
  <autoFilter ref="E68:F72" xr:uid="{00000000-0009-0000-0100-00002A000000}"/>
  <tableColumns count="2">
    <tableColumn id="1" xr3:uid="{00000000-0010-0000-2900-000001000000}" name="Position" dataDxfId="305"/>
    <tableColumn id="7" xr3:uid="{00000000-0010-0000-2900-000007000000}" name="Description" dataDxfId="304"/>
  </tableColumns>
  <tableStyleInfo name="TableStyleLight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1423567106264129135" displayName="Table1423567106264129135" ref="B80:C84" totalsRowShown="0" headerRowDxfId="303" dataDxfId="301" headerRowBorderDxfId="302" tableBorderDxfId="300">
  <autoFilter ref="B80:C84" xr:uid="{00000000-0009-0000-0100-00002B000000}"/>
  <tableColumns count="2">
    <tableColumn id="1" xr3:uid="{00000000-0010-0000-2A00-000001000000}" name="Position" dataDxfId="299"/>
    <tableColumn id="7" xr3:uid="{00000000-0010-0000-2A00-000007000000}" name="Description" dataDxfId="298"/>
  </tableColumns>
  <tableStyleInfo name="TableStyleLight15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1423567106264103130136" displayName="Table1423567106264103130136" ref="E80:F84" totalsRowShown="0" headerRowDxfId="297" dataDxfId="295" headerRowBorderDxfId="296" tableBorderDxfId="294">
  <autoFilter ref="E80:F84" xr:uid="{00000000-0009-0000-0100-00002C000000}"/>
  <tableColumns count="2">
    <tableColumn id="1" xr3:uid="{00000000-0010-0000-2B00-000001000000}" name="Position" dataDxfId="293"/>
    <tableColumn id="7" xr3:uid="{00000000-0010-0000-2B00-000007000000}" name="Description" dataDxfId="292"/>
  </tableColumns>
  <tableStyleInfo name="TableStyleLight1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1423567106264129137" displayName="Table1423567106264129137" ref="B92:C96" totalsRowShown="0" headerRowDxfId="291" dataDxfId="289" headerRowBorderDxfId="290" tableBorderDxfId="288">
  <autoFilter ref="B92:C96" xr:uid="{00000000-0009-0000-0100-00002D000000}"/>
  <tableColumns count="2">
    <tableColumn id="1" xr3:uid="{00000000-0010-0000-2C00-000001000000}" name="Position" dataDxfId="287"/>
    <tableColumn id="7" xr3:uid="{00000000-0010-0000-2C00-000007000000}" name="Description" dataDxfId="286"/>
  </tableColumns>
  <tableStyleInfo name="TableStyleLight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1423567106264103130138" displayName="Table1423567106264103130138" ref="E92:F96" totalsRowShown="0" headerRowDxfId="285" dataDxfId="283" headerRowBorderDxfId="284" tableBorderDxfId="282">
  <autoFilter ref="E92:F96" xr:uid="{00000000-0009-0000-0100-00002E000000}"/>
  <tableColumns count="2">
    <tableColumn id="1" xr3:uid="{00000000-0010-0000-2D00-000001000000}" name="Position" dataDxfId="281"/>
    <tableColumn id="7" xr3:uid="{00000000-0010-0000-2D00-000007000000}" name="Description" dataDxfId="280"/>
  </tableColumns>
  <tableStyleInfo name="TableStyleLight15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14235671076" displayName="Table14235671076" ref="B104:C108" totalsRowShown="0" headerRowDxfId="279" dataDxfId="277" headerRowBorderDxfId="278" tableBorderDxfId="276">
  <autoFilter ref="B104:C108" xr:uid="{00000000-0009-0000-0100-00002F000000}"/>
  <tableColumns count="2">
    <tableColumn id="1" xr3:uid="{00000000-0010-0000-2E00-000001000000}" name="Position" dataDxfId="275"/>
    <tableColumn id="7" xr3:uid="{00000000-0010-0000-2E00-000007000000}" name="Description" dataDxfId="274"/>
  </tableColumns>
  <tableStyleInfo name="TableStyleLight15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1423567106277" displayName="Table1423567106277" ref="B116:C120" totalsRowShown="0" headerRowDxfId="273" dataDxfId="271" headerRowBorderDxfId="272" tableBorderDxfId="270">
  <autoFilter ref="B116:C120" xr:uid="{00000000-0009-0000-0100-000030000000}"/>
  <tableColumns count="2">
    <tableColumn id="1" xr3:uid="{00000000-0010-0000-2F00-000001000000}" name="Position" dataDxfId="269"/>
    <tableColumn id="7" xr3:uid="{00000000-0010-0000-2F00-000007000000}" name="Description" dataDxfId="268"/>
  </tableColumns>
  <tableStyleInfo name="TableStyleLight1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14235671012178" displayName="Table14235671012178" ref="E104:F108" totalsRowShown="0" headerRowDxfId="267" dataDxfId="265" headerRowBorderDxfId="266" tableBorderDxfId="264">
  <autoFilter ref="E104:F108" xr:uid="{00000000-0009-0000-0100-000031000000}"/>
  <tableColumns count="2">
    <tableColumn id="1" xr3:uid="{00000000-0010-0000-3000-000001000000}" name="Position" dataDxfId="263"/>
    <tableColumn id="7" xr3:uid="{00000000-0010-0000-3000-000007000000}" name="Description" dataDxfId="262"/>
  </tableColumns>
  <tableStyleInfo name="TableStyleLight15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1423567106212279" displayName="Table1423567106212279" ref="E116:F120" totalsRowShown="0" headerRowDxfId="261" dataDxfId="259" headerRowBorderDxfId="260" tableBorderDxfId="258">
  <autoFilter ref="E116:F120" xr:uid="{00000000-0009-0000-0100-000032000000}"/>
  <tableColumns count="2">
    <tableColumn id="1" xr3:uid="{00000000-0010-0000-3100-000001000000}" name="Position" dataDxfId="257"/>
    <tableColumn id="7" xr3:uid="{00000000-0010-0000-3100-000007000000}" name="Description" dataDxfId="256"/>
  </tableColumns>
  <tableStyleInfo name="TableStyleLight15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142356710626480" displayName="Table142356710626480" ref="B128:C132" totalsRowShown="0" headerRowDxfId="255" dataDxfId="253" headerRowBorderDxfId="254" tableBorderDxfId="252">
  <autoFilter ref="B128:C132" xr:uid="{00000000-0009-0000-0100-000033000000}"/>
  <tableColumns count="2">
    <tableColumn id="1" xr3:uid="{00000000-0010-0000-3200-000001000000}" name="Position" dataDxfId="251"/>
    <tableColumn id="7" xr3:uid="{00000000-0010-0000-3200-000007000000}" name="Description" dataDxfId="250"/>
  </tableColumns>
  <tableStyleInfo name="TableStyleLight15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142356710626410381" displayName="Table142356710626410381" ref="E128:F132" totalsRowShown="0" headerRowDxfId="249" dataDxfId="247" headerRowBorderDxfId="248" tableBorderDxfId="246">
  <autoFilter ref="E128:F132" xr:uid="{00000000-0009-0000-0100-000034000000}"/>
  <tableColumns count="2">
    <tableColumn id="1" xr3:uid="{00000000-0010-0000-3300-000001000000}" name="Position" dataDxfId="245"/>
    <tableColumn id="7" xr3:uid="{00000000-0010-0000-3300-000007000000}" name="Description" dataDxfId="244"/>
  </tableColumns>
  <tableStyleInfo name="TableStyleLight15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142356710626412982" displayName="Table142356710626412982" ref="B140:C144" totalsRowShown="0" headerRowDxfId="243" dataDxfId="241" headerRowBorderDxfId="242" tableBorderDxfId="240">
  <autoFilter ref="B140:C144" xr:uid="{00000000-0009-0000-0100-000035000000}"/>
  <tableColumns count="2">
    <tableColumn id="1" xr3:uid="{00000000-0010-0000-3400-000001000000}" name="Position" dataDxfId="239"/>
    <tableColumn id="7" xr3:uid="{00000000-0010-0000-3400-000007000000}" name="Description" dataDxfId="238"/>
  </tableColumns>
  <tableStyleInfo name="TableStyleLight15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142356710626410313083" displayName="Table142356710626410313083" ref="E140:F144" totalsRowShown="0" headerRowDxfId="237" dataDxfId="235" headerRowBorderDxfId="236" tableBorderDxfId="234">
  <autoFilter ref="E140:F144" xr:uid="{00000000-0009-0000-0100-000036000000}"/>
  <tableColumns count="2">
    <tableColumn id="1" xr3:uid="{00000000-0010-0000-3500-000001000000}" name="Position" dataDxfId="233"/>
    <tableColumn id="7" xr3:uid="{00000000-0010-0000-3500-000007000000}" name="Description" dataDxfId="232"/>
  </tableColumns>
  <tableStyleInfo name="TableStyleLight15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142356710626412913184" displayName="Table142356710626412913184" ref="B152:C156" totalsRowShown="0" headerRowDxfId="231" dataDxfId="229" headerRowBorderDxfId="230" tableBorderDxfId="228">
  <autoFilter ref="B152:C156" xr:uid="{00000000-0009-0000-0100-000037000000}"/>
  <tableColumns count="2">
    <tableColumn id="1" xr3:uid="{00000000-0010-0000-3600-000001000000}" name="Position" dataDxfId="227"/>
    <tableColumn id="7" xr3:uid="{00000000-0010-0000-3600-000007000000}" name="Description" dataDxfId="226"/>
  </tableColumns>
  <tableStyleInfo name="TableStyleLight15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142356710626410313013285" displayName="Table142356710626410313013285" ref="E152:F156" totalsRowShown="0" headerRowDxfId="225" dataDxfId="223" headerRowBorderDxfId="224" tableBorderDxfId="222">
  <autoFilter ref="E152:F156" xr:uid="{00000000-0009-0000-0100-000038000000}"/>
  <tableColumns count="2">
    <tableColumn id="1" xr3:uid="{00000000-0010-0000-3700-000001000000}" name="Position" dataDxfId="221"/>
    <tableColumn id="7" xr3:uid="{00000000-0010-0000-3700-000007000000}" name="Description" dataDxfId="220"/>
  </tableColumns>
  <tableStyleInfo name="TableStyleLight15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142356710626412913386" displayName="Table142356710626412913386" ref="B164:C168" totalsRowShown="0" headerRowDxfId="219" dataDxfId="217" headerRowBorderDxfId="218" tableBorderDxfId="216">
  <autoFilter ref="B164:C168" xr:uid="{00000000-0009-0000-0100-000039000000}"/>
  <tableColumns count="2">
    <tableColumn id="1" xr3:uid="{00000000-0010-0000-3800-000001000000}" name="Position" dataDxfId="215"/>
    <tableColumn id="7" xr3:uid="{00000000-0010-0000-3800-000007000000}" name="Description" dataDxfId="214"/>
  </tableColumns>
  <tableStyleInfo name="TableStyleLight15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142356710626410313013487" displayName="Table142356710626410313013487" ref="E164:F168" totalsRowShown="0" headerRowDxfId="213" dataDxfId="211" headerRowBorderDxfId="212" tableBorderDxfId="210">
  <autoFilter ref="E164:F168" xr:uid="{00000000-0009-0000-0100-00003A000000}"/>
  <tableColumns count="2">
    <tableColumn id="1" xr3:uid="{00000000-0010-0000-3900-000001000000}" name="Position" dataDxfId="209"/>
    <tableColumn id="7" xr3:uid="{00000000-0010-0000-3900-000007000000}" name="Description" dataDxfId="208"/>
  </tableColumns>
  <tableStyleInfo name="TableStyleLight15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142356710626412913588" displayName="Table142356710626412913588" ref="B176:C180" totalsRowShown="0" headerRowDxfId="207" dataDxfId="205" headerRowBorderDxfId="206" tableBorderDxfId="204">
  <autoFilter ref="B176:C180" xr:uid="{00000000-0009-0000-0100-00003B000000}"/>
  <tableColumns count="2">
    <tableColumn id="1" xr3:uid="{00000000-0010-0000-3A00-000001000000}" name="Position" dataDxfId="203"/>
    <tableColumn id="7" xr3:uid="{00000000-0010-0000-3A00-000007000000}" name="Description" dataDxfId="202"/>
  </tableColumns>
  <tableStyleInfo name="TableStyleLight15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142356710626410313013689" displayName="Table142356710626410313013689" ref="E176:F180" totalsRowShown="0" headerRowDxfId="201" dataDxfId="199" headerRowBorderDxfId="200" tableBorderDxfId="198">
  <autoFilter ref="E176:F180" xr:uid="{00000000-0009-0000-0100-00003C000000}"/>
  <tableColumns count="2">
    <tableColumn id="1" xr3:uid="{00000000-0010-0000-3B00-000001000000}" name="Position" dataDxfId="197"/>
    <tableColumn id="7" xr3:uid="{00000000-0010-0000-3B00-000007000000}" name="Description" dataDxfId="196"/>
  </tableColumns>
  <tableStyleInfo name="TableStyleLight15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14235618" displayName="Table14235618" ref="B8:C12" totalsRowShown="0" headerRowDxfId="195" dataDxfId="193" headerRowBorderDxfId="194" tableBorderDxfId="192">
  <autoFilter ref="B8:C12" xr:uid="{00000000-0009-0000-0100-00003D000000}"/>
  <tableColumns count="2">
    <tableColumn id="1" xr3:uid="{00000000-0010-0000-3C00-000001000000}" name="Position" dataDxfId="191"/>
    <tableColumn id="7" xr3:uid="{00000000-0010-0000-3C00-000007000000}" name="Description" dataDxfId="190"/>
  </tableColumns>
  <tableStyleInfo name="TableStyleLight15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1423563120" displayName="Table1423563120" ref="E8:F12" totalsRowShown="0" headerRowDxfId="189" dataDxfId="187" headerRowBorderDxfId="188" tableBorderDxfId="186">
  <autoFilter ref="E8:F12" xr:uid="{00000000-0009-0000-0100-00003E000000}"/>
  <tableColumns count="2">
    <tableColumn id="1" xr3:uid="{00000000-0010-0000-3D00-000001000000}" name="Position" dataDxfId="185"/>
    <tableColumn id="7" xr3:uid="{00000000-0010-0000-3D00-000007000000}" name="Description" dataDxfId="184"/>
  </tableColumns>
  <tableStyleInfo name="TableStyleLight15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1423563221" displayName="Table1423563221" ref="B20:C24" totalsRowShown="0" headerRowDxfId="183" dataDxfId="181" headerRowBorderDxfId="182" tableBorderDxfId="180">
  <autoFilter ref="B20:C24" xr:uid="{00000000-0009-0000-0100-00003F000000}"/>
  <tableColumns count="2">
    <tableColumn id="1" xr3:uid="{00000000-0010-0000-3E00-000001000000}" name="Position" dataDxfId="179"/>
    <tableColumn id="7" xr3:uid="{00000000-0010-0000-3E00-000007000000}" name="Description" dataDxfId="178"/>
  </tableColumns>
  <tableStyleInfo name="TableStyleLight15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142356313322" displayName="Table142356313322" ref="E20:F24" totalsRowShown="0" headerRowDxfId="177" dataDxfId="175" headerRowBorderDxfId="176" tableBorderDxfId="174">
  <autoFilter ref="E20:F24" xr:uid="{00000000-0009-0000-0100-000040000000}"/>
  <tableColumns count="2">
    <tableColumn id="1" xr3:uid="{00000000-0010-0000-3F00-000001000000}" name="Position" dataDxfId="173"/>
    <tableColumn id="7" xr3:uid="{00000000-0010-0000-3F00-000007000000}" name="Description" dataDxfId="172"/>
  </tableColumns>
  <tableStyleInfo name="TableStyleLight15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142356323424" displayName="Table142356323424" ref="B32:C36" totalsRowShown="0" headerRowDxfId="171" dataDxfId="169" headerRowBorderDxfId="170" tableBorderDxfId="168">
  <autoFilter ref="B32:C36" xr:uid="{00000000-0009-0000-0100-000041000000}"/>
  <tableColumns count="2">
    <tableColumn id="1" xr3:uid="{00000000-0010-0000-4000-000001000000}" name="Position" dataDxfId="167"/>
    <tableColumn id="7" xr3:uid="{00000000-0010-0000-4000-000007000000}" name="Description" dataDxfId="166"/>
  </tableColumns>
  <tableStyleInfo name="TableStyleLight15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14235631333536" displayName="Table14235631333536" ref="E32:F36" totalsRowShown="0" headerRowDxfId="165" dataDxfId="163" headerRowBorderDxfId="164" tableBorderDxfId="162">
  <autoFilter ref="E32:F36" xr:uid="{00000000-0009-0000-0100-000042000000}"/>
  <tableColumns count="2">
    <tableColumn id="1" xr3:uid="{00000000-0010-0000-4100-000001000000}" name="Position" dataDxfId="161"/>
    <tableColumn id="7" xr3:uid="{00000000-0010-0000-4100-000007000000}" name="Description" dataDxfId="160"/>
  </tableColumns>
  <tableStyleInfo name="TableStyleLight15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14235618114" displayName="Table14235618114" ref="B44:C48" totalsRowShown="0" headerRowDxfId="159" dataDxfId="157" headerRowBorderDxfId="158" tableBorderDxfId="156">
  <autoFilter ref="B44:C48" xr:uid="{00000000-0009-0000-0100-000043000000}"/>
  <tableColumns count="2">
    <tableColumn id="1" xr3:uid="{00000000-0010-0000-4200-000001000000}" name="Position" dataDxfId="155"/>
    <tableColumn id="7" xr3:uid="{00000000-0010-0000-4200-000007000000}" name="Description" dataDxfId="154"/>
  </tableColumns>
  <tableStyleInfo name="TableStyleLight15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1423563120115" displayName="Table1423563120115" ref="E44:F48" totalsRowShown="0" headerRowDxfId="153" dataDxfId="151" headerRowBorderDxfId="152" tableBorderDxfId="150">
  <autoFilter ref="E44:F48" xr:uid="{00000000-0009-0000-0100-000044000000}"/>
  <tableColumns count="2">
    <tableColumn id="1" xr3:uid="{00000000-0010-0000-4300-000001000000}" name="Position" dataDxfId="149"/>
    <tableColumn id="7" xr3:uid="{00000000-0010-0000-4300-000007000000}" name="Description" dataDxfId="148"/>
  </tableColumns>
  <tableStyleInfo name="TableStyleLight15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1423563221116" displayName="Table1423563221116" ref="B56:C60" totalsRowShown="0" headerRowDxfId="147" dataDxfId="145" headerRowBorderDxfId="146" tableBorderDxfId="144">
  <autoFilter ref="B56:C60" xr:uid="{00000000-0009-0000-0100-000045000000}"/>
  <tableColumns count="2">
    <tableColumn id="1" xr3:uid="{00000000-0010-0000-4400-000001000000}" name="Position" dataDxfId="143"/>
    <tableColumn id="7" xr3:uid="{00000000-0010-0000-4400-000007000000}" name="Description" dataDxfId="142"/>
  </tableColumns>
  <tableStyleInfo name="TableStyleLight15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142356313322117" displayName="Table142356313322117" ref="E56:F60" totalsRowShown="0" headerRowDxfId="141" dataDxfId="139" headerRowBorderDxfId="140" tableBorderDxfId="138">
  <autoFilter ref="E56:F60" xr:uid="{00000000-0009-0000-0100-000046000000}"/>
  <tableColumns count="2">
    <tableColumn id="1" xr3:uid="{00000000-0010-0000-4500-000001000000}" name="Position" dataDxfId="137"/>
    <tableColumn id="7" xr3:uid="{00000000-0010-0000-4500-000007000000}" name="Description" dataDxfId="136"/>
  </tableColumns>
  <tableStyleInfo name="TableStyleLight15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142356323424118" displayName="Table142356323424118" ref="B68:C72" totalsRowShown="0" headerRowDxfId="135" dataDxfId="133" headerRowBorderDxfId="134" tableBorderDxfId="132">
  <autoFilter ref="B68:C72" xr:uid="{00000000-0009-0000-0100-000047000000}"/>
  <tableColumns count="2">
    <tableColumn id="1" xr3:uid="{00000000-0010-0000-4600-000001000000}" name="Position" dataDxfId="131"/>
    <tableColumn id="7" xr3:uid="{00000000-0010-0000-4600-000007000000}" name="Description" dataDxfId="130"/>
  </tableColumns>
  <tableStyleInfo name="TableStyleLight15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14235631333536119" displayName="Table14235631333536119" ref="E68:F72" totalsRowShown="0" headerRowDxfId="129" dataDxfId="127" headerRowBorderDxfId="128" tableBorderDxfId="126">
  <autoFilter ref="E68:F72" xr:uid="{00000000-0009-0000-0100-000048000000}"/>
  <tableColumns count="2">
    <tableColumn id="1" xr3:uid="{00000000-0010-0000-4700-000001000000}" name="Position" dataDxfId="125"/>
    <tableColumn id="7" xr3:uid="{00000000-0010-0000-4700-000007000000}" name="Description" dataDxfId="124"/>
  </tableColumns>
  <tableStyleInfo name="TableStyleLight15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14235618120" displayName="Table14235618120" ref="B80:C84" totalsRowShown="0" headerRowDxfId="123" dataDxfId="121" headerRowBorderDxfId="122" tableBorderDxfId="120">
  <autoFilter ref="B80:C84" xr:uid="{00000000-0009-0000-0100-000049000000}"/>
  <tableColumns count="2">
    <tableColumn id="1" xr3:uid="{00000000-0010-0000-4800-000001000000}" name="Position" dataDxfId="119"/>
    <tableColumn id="7" xr3:uid="{00000000-0010-0000-4800-000007000000}" name="Description" dataDxfId="118"/>
  </tableColumns>
  <tableStyleInfo name="TableStyleLight15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1423563120121" displayName="Table1423563120121" ref="E80:F84" totalsRowShown="0" headerRowDxfId="117" dataDxfId="115" headerRowBorderDxfId="116" tableBorderDxfId="114">
  <autoFilter ref="E80:F84" xr:uid="{00000000-0009-0000-0100-00004A000000}"/>
  <tableColumns count="2">
    <tableColumn id="1" xr3:uid="{00000000-0010-0000-4900-000001000000}" name="Position" dataDxfId="113"/>
    <tableColumn id="7" xr3:uid="{00000000-0010-0000-4900-000007000000}" name="Description" dataDxfId="112"/>
  </tableColumns>
  <tableStyleInfo name="TableStyleLight15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1423563221122" displayName="Table1423563221122" ref="B92:C96" totalsRowShown="0" headerRowDxfId="111" dataDxfId="109" headerRowBorderDxfId="110" tableBorderDxfId="108">
  <autoFilter ref="B92:C96" xr:uid="{00000000-0009-0000-0100-00004B000000}"/>
  <tableColumns count="2">
    <tableColumn id="1" xr3:uid="{00000000-0010-0000-4A00-000001000000}" name="Position" dataDxfId="107"/>
    <tableColumn id="7" xr3:uid="{00000000-0010-0000-4A00-000007000000}" name="Description" dataDxfId="106"/>
  </tableColumns>
  <tableStyleInfo name="TableStyleLight15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142356313322123" displayName="Table142356313322123" ref="E92:F96" totalsRowShown="0" headerRowDxfId="105" dataDxfId="103" headerRowBorderDxfId="104" tableBorderDxfId="102">
  <autoFilter ref="E92:F96" xr:uid="{00000000-0009-0000-0100-00004C000000}"/>
  <tableColumns count="2">
    <tableColumn id="1" xr3:uid="{00000000-0010-0000-4B00-000001000000}" name="Position" dataDxfId="101"/>
    <tableColumn id="7" xr3:uid="{00000000-0010-0000-4B00-000007000000}" name="Description" dataDxfId="100"/>
  </tableColumns>
  <tableStyleInfo name="TableStyleLight15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142356323424124" displayName="Table142356323424124" ref="B104:C108" totalsRowShown="0" headerRowDxfId="99" dataDxfId="97" headerRowBorderDxfId="98" tableBorderDxfId="96">
  <autoFilter ref="B104:C108" xr:uid="{00000000-0009-0000-0100-00004D000000}"/>
  <tableColumns count="2">
    <tableColumn id="1" xr3:uid="{00000000-0010-0000-4C00-000001000000}" name="Position" dataDxfId="95"/>
    <tableColumn id="7" xr3:uid="{00000000-0010-0000-4C00-000007000000}" name="Description" dataDxfId="94"/>
  </tableColumns>
  <tableStyleInfo name="TableStyleLight15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14235631333536125" displayName="Table14235631333536125" ref="E104:F108" totalsRowShown="0" headerRowDxfId="93" dataDxfId="91" headerRowBorderDxfId="92" tableBorderDxfId="90">
  <autoFilter ref="E104:F108" xr:uid="{00000000-0009-0000-0100-00004E000000}"/>
  <tableColumns count="2">
    <tableColumn id="1" xr3:uid="{00000000-0010-0000-4D00-000001000000}" name="Position" dataDxfId="89"/>
    <tableColumn id="7" xr3:uid="{00000000-0010-0000-4D00-000007000000}" name="Description" dataDxfId="88"/>
  </tableColumns>
  <tableStyleInfo name="TableStyleLight15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14235618126" displayName="Table14235618126" ref="B116:C120" totalsRowShown="0" headerRowDxfId="87" dataDxfId="85" headerRowBorderDxfId="86" tableBorderDxfId="84">
  <autoFilter ref="B116:C120" xr:uid="{00000000-0009-0000-0100-00004F000000}"/>
  <tableColumns count="2">
    <tableColumn id="1" xr3:uid="{00000000-0010-0000-4E00-000001000000}" name="Position" dataDxfId="83"/>
    <tableColumn id="7" xr3:uid="{00000000-0010-0000-4E00-000007000000}" name="Description" dataDxfId="82"/>
  </tableColumns>
  <tableStyleInfo name="TableStyleLight15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1423563120127" displayName="Table1423563120127" ref="E116:F120" totalsRowShown="0" headerRowDxfId="81" dataDxfId="79" headerRowBorderDxfId="80" tableBorderDxfId="78">
  <autoFilter ref="E116:F120" xr:uid="{00000000-0009-0000-0100-000050000000}"/>
  <tableColumns count="2">
    <tableColumn id="1" xr3:uid="{00000000-0010-0000-4F00-000001000000}" name="Position" dataDxfId="77"/>
    <tableColumn id="7" xr3:uid="{00000000-0010-0000-4F00-000007000000}" name="Description" dataDxfId="76"/>
  </tableColumns>
  <tableStyleInfo name="TableStyleLight15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1423563221128" displayName="Table1423563221128" ref="B128:C132" totalsRowShown="0" headerRowDxfId="75" dataDxfId="73" headerRowBorderDxfId="74" tableBorderDxfId="72">
  <autoFilter ref="B128:C132" xr:uid="{00000000-0009-0000-0100-000051000000}"/>
  <tableColumns count="2">
    <tableColumn id="1" xr3:uid="{00000000-0010-0000-5000-000001000000}" name="Position" dataDxfId="71"/>
    <tableColumn id="7" xr3:uid="{00000000-0010-0000-5000-000007000000}" name="Description" dataDxfId="70"/>
  </tableColumns>
  <tableStyleInfo name="TableStyleLight15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142356313322129" displayName="Table142356313322129" ref="E128:F132" totalsRowShown="0" headerRowDxfId="69" dataDxfId="67" headerRowBorderDxfId="68" tableBorderDxfId="66">
  <autoFilter ref="E128:F132" xr:uid="{00000000-0009-0000-0100-000052000000}"/>
  <tableColumns count="2">
    <tableColumn id="1" xr3:uid="{00000000-0010-0000-5100-000001000000}" name="Position" dataDxfId="65"/>
    <tableColumn id="7" xr3:uid="{00000000-0010-0000-5100-000007000000}" name="Description" dataDxfId="64"/>
  </tableColumns>
  <tableStyleInfo name="TableStyleLight15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142356323424130" displayName="Table142356323424130" ref="B140:C144" totalsRowShown="0" headerRowDxfId="63" dataDxfId="61" headerRowBorderDxfId="62" tableBorderDxfId="60">
  <autoFilter ref="B140:C144" xr:uid="{00000000-0009-0000-0100-000053000000}"/>
  <tableColumns count="2">
    <tableColumn id="1" xr3:uid="{00000000-0010-0000-5200-000001000000}" name="Position" dataDxfId="59"/>
    <tableColumn id="7" xr3:uid="{00000000-0010-0000-5200-000007000000}" name="Description" dataDxfId="58"/>
  </tableColumns>
  <tableStyleInfo name="TableStyleLight15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14235631333536131" displayName="Table14235631333536131" ref="E140:F144" totalsRowShown="0" headerRowDxfId="57" dataDxfId="55" headerRowBorderDxfId="56" tableBorderDxfId="54">
  <autoFilter ref="E140:F144" xr:uid="{00000000-0009-0000-0100-000054000000}"/>
  <tableColumns count="2">
    <tableColumn id="1" xr3:uid="{00000000-0010-0000-5300-000001000000}" name="Position" dataDxfId="53"/>
    <tableColumn id="7" xr3:uid="{00000000-0010-0000-5300-000007000000}" name="Description" dataDxfId="52"/>
  </tableColumns>
  <tableStyleInfo name="TableStyleLight15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14235618126132" displayName="Table14235618126132" ref="B152:C156" totalsRowShown="0" headerRowDxfId="51" dataDxfId="49" headerRowBorderDxfId="50" tableBorderDxfId="48">
  <autoFilter ref="B152:C156" xr:uid="{00000000-0009-0000-0100-000055000000}"/>
  <tableColumns count="2">
    <tableColumn id="1" xr3:uid="{00000000-0010-0000-5400-000001000000}" name="Position" dataDxfId="47"/>
    <tableColumn id="7" xr3:uid="{00000000-0010-0000-5400-000007000000}" name="Description" dataDxfId="46"/>
  </tableColumns>
  <tableStyleInfo name="TableStyleLight15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1423563120127133" displayName="Table1423563120127133" ref="E152:F156" totalsRowShown="0" headerRowDxfId="45" dataDxfId="43" headerRowBorderDxfId="44" tableBorderDxfId="42">
  <autoFilter ref="E152:F156" xr:uid="{00000000-0009-0000-0100-000056000000}"/>
  <tableColumns count="2">
    <tableColumn id="1" xr3:uid="{00000000-0010-0000-5500-000001000000}" name="Position" dataDxfId="41"/>
    <tableColumn id="7" xr3:uid="{00000000-0010-0000-5500-000007000000}" name="Description" dataDxfId="40"/>
  </tableColumns>
  <tableStyleInfo name="TableStyleLight15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1423563221128134" displayName="Table1423563221128134" ref="B164:C168" totalsRowShown="0" headerRowDxfId="39" dataDxfId="37" headerRowBorderDxfId="38" tableBorderDxfId="36">
  <autoFilter ref="B164:C168" xr:uid="{00000000-0009-0000-0100-000057000000}"/>
  <tableColumns count="2">
    <tableColumn id="1" xr3:uid="{00000000-0010-0000-5600-000001000000}" name="Position" dataDxfId="35"/>
    <tableColumn id="7" xr3:uid="{00000000-0010-0000-5600-000007000000}" name="Description" dataDxfId="34"/>
  </tableColumns>
  <tableStyleInfo name="TableStyleLight15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142356313322129135" displayName="Table142356313322129135" ref="E164:F168" totalsRowShown="0" headerRowDxfId="33" dataDxfId="31" headerRowBorderDxfId="32" tableBorderDxfId="30">
  <autoFilter ref="E164:F168" xr:uid="{00000000-0009-0000-0100-000058000000}"/>
  <tableColumns count="2">
    <tableColumn id="1" xr3:uid="{00000000-0010-0000-5700-000001000000}" name="Position" dataDxfId="29"/>
    <tableColumn id="7" xr3:uid="{00000000-0010-0000-5700-000007000000}" name="Description" dataDxfId="28"/>
  </tableColumns>
  <tableStyleInfo name="TableStyleLight15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142356323424130136" displayName="Table142356323424130136" ref="B176:C180" totalsRowShown="0" headerRowDxfId="27" dataDxfId="25" headerRowBorderDxfId="26" tableBorderDxfId="24">
  <autoFilter ref="B176:C180" xr:uid="{00000000-0009-0000-0100-000059000000}"/>
  <tableColumns count="2">
    <tableColumn id="1" xr3:uid="{00000000-0010-0000-5800-000001000000}" name="Position" dataDxfId="23"/>
    <tableColumn id="7" xr3:uid="{00000000-0010-0000-5800-000007000000}" name="Description" dataDxfId="22"/>
  </tableColumns>
  <tableStyleInfo name="TableStyleLight15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14235631333536131137" displayName="Table14235631333536131137" ref="E176:F180" totalsRowShown="0" headerRowDxfId="21" dataDxfId="19" headerRowBorderDxfId="20" tableBorderDxfId="18">
  <autoFilter ref="E176:F180" xr:uid="{00000000-0009-0000-0100-00005A000000}"/>
  <tableColumns count="2">
    <tableColumn id="1" xr3:uid="{00000000-0010-0000-5900-000001000000}" name="Position" dataDxfId="17"/>
    <tableColumn id="7" xr3:uid="{00000000-0010-0000-5900-000007000000}" name="Description" dataDxfId="16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17" Type="http://schemas.openxmlformats.org/officeDocument/2006/relationships/table" Target="../tables/table29.xml"/><Relationship Id="rId2" Type="http://schemas.openxmlformats.org/officeDocument/2006/relationships/table" Target="../tables/table14.xml"/><Relationship Id="rId16" Type="http://schemas.openxmlformats.org/officeDocument/2006/relationships/table" Target="../tables/table28.xml"/><Relationship Id="rId1" Type="http://schemas.openxmlformats.org/officeDocument/2006/relationships/drawing" Target="../drawings/drawing2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5" Type="http://schemas.openxmlformats.org/officeDocument/2006/relationships/table" Target="../tables/table2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Relationship Id="rId14" Type="http://schemas.openxmlformats.org/officeDocument/2006/relationships/table" Target="../tables/table2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6.xml"/><Relationship Id="rId13" Type="http://schemas.openxmlformats.org/officeDocument/2006/relationships/table" Target="../tables/table41.xml"/><Relationship Id="rId18" Type="http://schemas.openxmlformats.org/officeDocument/2006/relationships/table" Target="../tables/table46.xml"/><Relationship Id="rId26" Type="http://schemas.openxmlformats.org/officeDocument/2006/relationships/table" Target="../tables/table54.xml"/><Relationship Id="rId3" Type="http://schemas.openxmlformats.org/officeDocument/2006/relationships/table" Target="../tables/table31.xml"/><Relationship Id="rId21" Type="http://schemas.openxmlformats.org/officeDocument/2006/relationships/table" Target="../tables/table49.xml"/><Relationship Id="rId7" Type="http://schemas.openxmlformats.org/officeDocument/2006/relationships/table" Target="../tables/table35.xml"/><Relationship Id="rId12" Type="http://schemas.openxmlformats.org/officeDocument/2006/relationships/table" Target="../tables/table40.xml"/><Relationship Id="rId17" Type="http://schemas.openxmlformats.org/officeDocument/2006/relationships/table" Target="../tables/table45.xml"/><Relationship Id="rId25" Type="http://schemas.openxmlformats.org/officeDocument/2006/relationships/table" Target="../tables/table53.xml"/><Relationship Id="rId2" Type="http://schemas.openxmlformats.org/officeDocument/2006/relationships/table" Target="../tables/table30.xml"/><Relationship Id="rId16" Type="http://schemas.openxmlformats.org/officeDocument/2006/relationships/table" Target="../tables/table44.xml"/><Relationship Id="rId20" Type="http://schemas.openxmlformats.org/officeDocument/2006/relationships/table" Target="../tables/table48.xml"/><Relationship Id="rId29" Type="http://schemas.openxmlformats.org/officeDocument/2006/relationships/table" Target="../tables/table57.xml"/><Relationship Id="rId1" Type="http://schemas.openxmlformats.org/officeDocument/2006/relationships/drawing" Target="../drawings/drawing3.xml"/><Relationship Id="rId6" Type="http://schemas.openxmlformats.org/officeDocument/2006/relationships/table" Target="../tables/table34.xml"/><Relationship Id="rId11" Type="http://schemas.openxmlformats.org/officeDocument/2006/relationships/table" Target="../tables/table39.xml"/><Relationship Id="rId24" Type="http://schemas.openxmlformats.org/officeDocument/2006/relationships/table" Target="../tables/table52.xml"/><Relationship Id="rId5" Type="http://schemas.openxmlformats.org/officeDocument/2006/relationships/table" Target="../tables/table33.xml"/><Relationship Id="rId15" Type="http://schemas.openxmlformats.org/officeDocument/2006/relationships/table" Target="../tables/table43.xml"/><Relationship Id="rId23" Type="http://schemas.openxmlformats.org/officeDocument/2006/relationships/table" Target="../tables/table51.xml"/><Relationship Id="rId28" Type="http://schemas.openxmlformats.org/officeDocument/2006/relationships/table" Target="../tables/table56.xml"/><Relationship Id="rId10" Type="http://schemas.openxmlformats.org/officeDocument/2006/relationships/table" Target="../tables/table38.xml"/><Relationship Id="rId19" Type="http://schemas.openxmlformats.org/officeDocument/2006/relationships/table" Target="../tables/table47.xml"/><Relationship Id="rId31" Type="http://schemas.openxmlformats.org/officeDocument/2006/relationships/table" Target="../tables/table59.xml"/><Relationship Id="rId4" Type="http://schemas.openxmlformats.org/officeDocument/2006/relationships/table" Target="../tables/table32.xml"/><Relationship Id="rId9" Type="http://schemas.openxmlformats.org/officeDocument/2006/relationships/table" Target="../tables/table37.xml"/><Relationship Id="rId14" Type="http://schemas.openxmlformats.org/officeDocument/2006/relationships/table" Target="../tables/table42.xml"/><Relationship Id="rId22" Type="http://schemas.openxmlformats.org/officeDocument/2006/relationships/table" Target="../tables/table50.xml"/><Relationship Id="rId27" Type="http://schemas.openxmlformats.org/officeDocument/2006/relationships/table" Target="../tables/table55.xml"/><Relationship Id="rId30" Type="http://schemas.openxmlformats.org/officeDocument/2006/relationships/table" Target="../tables/table58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6.xml"/><Relationship Id="rId13" Type="http://schemas.openxmlformats.org/officeDocument/2006/relationships/table" Target="../tables/table71.xml"/><Relationship Id="rId18" Type="http://schemas.openxmlformats.org/officeDocument/2006/relationships/table" Target="../tables/table76.xml"/><Relationship Id="rId26" Type="http://schemas.openxmlformats.org/officeDocument/2006/relationships/table" Target="../tables/table84.xml"/><Relationship Id="rId3" Type="http://schemas.openxmlformats.org/officeDocument/2006/relationships/table" Target="../tables/table61.xml"/><Relationship Id="rId21" Type="http://schemas.openxmlformats.org/officeDocument/2006/relationships/table" Target="../tables/table79.xml"/><Relationship Id="rId7" Type="http://schemas.openxmlformats.org/officeDocument/2006/relationships/table" Target="../tables/table65.xml"/><Relationship Id="rId12" Type="http://schemas.openxmlformats.org/officeDocument/2006/relationships/table" Target="../tables/table70.xml"/><Relationship Id="rId17" Type="http://schemas.openxmlformats.org/officeDocument/2006/relationships/table" Target="../tables/table75.xml"/><Relationship Id="rId25" Type="http://schemas.openxmlformats.org/officeDocument/2006/relationships/table" Target="../tables/table83.xml"/><Relationship Id="rId2" Type="http://schemas.openxmlformats.org/officeDocument/2006/relationships/table" Target="../tables/table60.xml"/><Relationship Id="rId16" Type="http://schemas.openxmlformats.org/officeDocument/2006/relationships/table" Target="../tables/table74.xml"/><Relationship Id="rId20" Type="http://schemas.openxmlformats.org/officeDocument/2006/relationships/table" Target="../tables/table78.xml"/><Relationship Id="rId29" Type="http://schemas.openxmlformats.org/officeDocument/2006/relationships/table" Target="../tables/table87.xml"/><Relationship Id="rId1" Type="http://schemas.openxmlformats.org/officeDocument/2006/relationships/drawing" Target="../drawings/drawing4.xml"/><Relationship Id="rId6" Type="http://schemas.openxmlformats.org/officeDocument/2006/relationships/table" Target="../tables/table64.xml"/><Relationship Id="rId11" Type="http://schemas.openxmlformats.org/officeDocument/2006/relationships/table" Target="../tables/table69.xml"/><Relationship Id="rId24" Type="http://schemas.openxmlformats.org/officeDocument/2006/relationships/table" Target="../tables/table82.xml"/><Relationship Id="rId5" Type="http://schemas.openxmlformats.org/officeDocument/2006/relationships/table" Target="../tables/table63.xml"/><Relationship Id="rId15" Type="http://schemas.openxmlformats.org/officeDocument/2006/relationships/table" Target="../tables/table73.xml"/><Relationship Id="rId23" Type="http://schemas.openxmlformats.org/officeDocument/2006/relationships/table" Target="../tables/table81.xml"/><Relationship Id="rId28" Type="http://schemas.openxmlformats.org/officeDocument/2006/relationships/table" Target="../tables/table86.xml"/><Relationship Id="rId10" Type="http://schemas.openxmlformats.org/officeDocument/2006/relationships/table" Target="../tables/table68.xml"/><Relationship Id="rId19" Type="http://schemas.openxmlformats.org/officeDocument/2006/relationships/table" Target="../tables/table77.xml"/><Relationship Id="rId31" Type="http://schemas.openxmlformats.org/officeDocument/2006/relationships/table" Target="../tables/table89.xml"/><Relationship Id="rId4" Type="http://schemas.openxmlformats.org/officeDocument/2006/relationships/table" Target="../tables/table62.xml"/><Relationship Id="rId9" Type="http://schemas.openxmlformats.org/officeDocument/2006/relationships/table" Target="../tables/table67.xml"/><Relationship Id="rId14" Type="http://schemas.openxmlformats.org/officeDocument/2006/relationships/table" Target="../tables/table72.xml"/><Relationship Id="rId22" Type="http://schemas.openxmlformats.org/officeDocument/2006/relationships/table" Target="../tables/table80.xml"/><Relationship Id="rId27" Type="http://schemas.openxmlformats.org/officeDocument/2006/relationships/table" Target="../tables/table85.xml"/><Relationship Id="rId30" Type="http://schemas.openxmlformats.org/officeDocument/2006/relationships/table" Target="../tables/table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/>
  </sheetPr>
  <dimension ref="B3:C13"/>
  <sheetViews>
    <sheetView workbookViewId="0">
      <selection activeCell="B6" sqref="B6"/>
    </sheetView>
  </sheetViews>
  <sheetFormatPr baseColWidth="10" defaultColWidth="8.6640625" defaultRowHeight="15" x14ac:dyDescent="0.2"/>
  <cols>
    <col min="1" max="1" width="2.5" customWidth="1"/>
    <col min="2" max="2" width="41.33203125" customWidth="1"/>
    <col min="3" max="3" width="55.33203125" customWidth="1"/>
  </cols>
  <sheetData>
    <row r="3" spans="2:3" ht="18.75" customHeight="1" x14ac:dyDescent="0.2">
      <c r="B3" s="101" t="s">
        <v>7</v>
      </c>
      <c r="C3" s="93"/>
    </row>
    <row r="4" spans="2:3" ht="19" customHeight="1" x14ac:dyDescent="0.2">
      <c r="B4" s="101" t="s">
        <v>8</v>
      </c>
      <c r="C4" s="93"/>
    </row>
    <row r="5" spans="2:3" ht="19" customHeight="1" x14ac:dyDescent="0.2">
      <c r="B5" s="101" t="s">
        <v>9</v>
      </c>
      <c r="C5" s="93"/>
    </row>
    <row r="6" spans="2:3" x14ac:dyDescent="0.2">
      <c r="B6" s="2"/>
      <c r="C6" s="11"/>
    </row>
    <row r="7" spans="2:3" ht="16" customHeight="1" x14ac:dyDescent="0.2">
      <c r="B7" s="109"/>
      <c r="C7" s="93"/>
    </row>
    <row r="8" spans="2:3" ht="27" customHeight="1" x14ac:dyDescent="0.2"/>
    <row r="9" spans="2:3" ht="14.75" customHeight="1" x14ac:dyDescent="0.2"/>
    <row r="10" spans="2:3" ht="14.75" customHeight="1" x14ac:dyDescent="0.2"/>
    <row r="11" spans="2:3" ht="14.75" customHeight="1" x14ac:dyDescent="0.2"/>
    <row r="12" spans="2:3" ht="14.75" customHeight="1" x14ac:dyDescent="0.2"/>
    <row r="13" spans="2:3" ht="14.75" customHeight="1" x14ac:dyDescent="0.2"/>
  </sheetData>
  <mergeCells count="4">
    <mergeCell ref="B3:C3"/>
    <mergeCell ref="B5:C5"/>
    <mergeCell ref="B4:C4"/>
    <mergeCell ref="B7:C7"/>
  </mergeCells>
  <pageMargins left="0.25" right="0.25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EE5E"/>
  </sheetPr>
  <dimension ref="A2:G562"/>
  <sheetViews>
    <sheetView workbookViewId="0">
      <selection activeCell="D553" sqref="D553"/>
    </sheetView>
  </sheetViews>
  <sheetFormatPr baseColWidth="10" defaultRowHeight="15" x14ac:dyDescent="0.2"/>
  <cols>
    <col min="1" max="1" width="11.6640625" style="21" customWidth="1"/>
    <col min="2" max="2" width="28.33203125" style="21" customWidth="1"/>
    <col min="3" max="3" width="63.83203125" style="21" customWidth="1"/>
    <col min="4" max="4" width="64.1640625" style="21" customWidth="1"/>
    <col min="5" max="7" width="20.83203125" customWidth="1"/>
  </cols>
  <sheetData>
    <row r="2" spans="1:2" ht="16" customHeight="1" x14ac:dyDescent="0.2">
      <c r="A2" s="113" t="s">
        <v>10</v>
      </c>
      <c r="B2" s="112"/>
    </row>
    <row r="3" spans="1:2" x14ac:dyDescent="0.2">
      <c r="A3" s="78" t="s">
        <v>11</v>
      </c>
    </row>
    <row r="4" spans="1:2" x14ac:dyDescent="0.2">
      <c r="A4" s="78" t="s">
        <v>12</v>
      </c>
      <c r="B4" s="78" t="s">
        <v>13</v>
      </c>
    </row>
    <row r="5" spans="1:2" x14ac:dyDescent="0.2">
      <c r="A5" s="21" t="s">
        <v>14</v>
      </c>
    </row>
    <row r="6" spans="1:2" x14ac:dyDescent="0.2">
      <c r="A6" s="21" t="s">
        <v>15</v>
      </c>
    </row>
    <row r="7" spans="1:2" x14ac:dyDescent="0.2">
      <c r="A7" s="21" t="s">
        <v>16</v>
      </c>
    </row>
    <row r="8" spans="1:2" x14ac:dyDescent="0.2">
      <c r="A8" s="21" t="s">
        <v>17</v>
      </c>
    </row>
    <row r="9" spans="1:2" x14ac:dyDescent="0.2">
      <c r="A9" s="21" t="s">
        <v>18</v>
      </c>
    </row>
    <row r="10" spans="1:2" x14ac:dyDescent="0.2">
      <c r="A10" s="21" t="s">
        <v>19</v>
      </c>
    </row>
    <row r="11" spans="1:2" x14ac:dyDescent="0.2">
      <c r="A11" s="21" t="s">
        <v>20</v>
      </c>
    </row>
    <row r="12" spans="1:2" x14ac:dyDescent="0.2">
      <c r="A12" s="21" t="s">
        <v>21</v>
      </c>
    </row>
    <row r="13" spans="1:2" x14ac:dyDescent="0.2">
      <c r="A13" s="21" t="s">
        <v>22</v>
      </c>
    </row>
    <row r="14" spans="1:2" x14ac:dyDescent="0.2">
      <c r="A14" s="21" t="s">
        <v>23</v>
      </c>
    </row>
    <row r="15" spans="1:2" x14ac:dyDescent="0.2">
      <c r="A15" s="21" t="s">
        <v>24</v>
      </c>
    </row>
    <row r="16" spans="1:2" ht="16" customHeight="1" x14ac:dyDescent="0.2">
      <c r="A16" s="21" t="s">
        <v>25</v>
      </c>
    </row>
    <row r="17" spans="1:7" x14ac:dyDescent="0.2">
      <c r="A17" s="21" t="s">
        <v>26</v>
      </c>
    </row>
    <row r="18" spans="1:7" ht="16" customHeight="1" x14ac:dyDescent="0.2">
      <c r="A18" s="21" t="s">
        <v>27</v>
      </c>
    </row>
    <row r="19" spans="1:7" x14ac:dyDescent="0.2">
      <c r="A19" s="21" t="s">
        <v>28</v>
      </c>
    </row>
    <row r="20" spans="1:7" x14ac:dyDescent="0.2">
      <c r="A20" s="21" t="s">
        <v>29</v>
      </c>
    </row>
    <row r="21" spans="1:7" x14ac:dyDescent="0.2">
      <c r="A21" s="21" t="s">
        <v>30</v>
      </c>
    </row>
    <row r="22" spans="1:7" x14ac:dyDescent="0.2">
      <c r="A22" s="21" t="s">
        <v>31</v>
      </c>
    </row>
    <row r="23" spans="1:7" x14ac:dyDescent="0.2">
      <c r="A23" s="21" t="s">
        <v>32</v>
      </c>
    </row>
    <row r="24" spans="1:7" x14ac:dyDescent="0.2">
      <c r="A24" s="21" t="s">
        <v>33</v>
      </c>
    </row>
    <row r="25" spans="1:7" x14ac:dyDescent="0.2">
      <c r="A25" s="21" t="s">
        <v>34</v>
      </c>
    </row>
    <row r="27" spans="1:7" ht="19" customHeight="1" x14ac:dyDescent="0.2">
      <c r="A27" s="110" t="s">
        <v>35</v>
      </c>
      <c r="B27" s="111"/>
      <c r="C27" s="111"/>
      <c r="D27" s="111"/>
      <c r="E27" s="111"/>
      <c r="F27" s="111"/>
      <c r="G27" s="112"/>
    </row>
    <row r="28" spans="1:7" x14ac:dyDescent="0.2">
      <c r="A28" s="75" t="s">
        <v>36</v>
      </c>
      <c r="B28" s="76" t="s">
        <v>11</v>
      </c>
      <c r="C28" s="76" t="s">
        <v>37</v>
      </c>
      <c r="D28" s="76" t="s">
        <v>38</v>
      </c>
      <c r="E28" s="76" t="s">
        <v>39</v>
      </c>
      <c r="F28" s="76" t="s">
        <v>40</v>
      </c>
      <c r="G28" s="76" t="s">
        <v>41</v>
      </c>
    </row>
    <row r="29" spans="1:7" x14ac:dyDescent="0.2">
      <c r="A29" s="21" t="s">
        <v>42</v>
      </c>
    </row>
    <row r="30" spans="1:7" x14ac:dyDescent="0.2">
      <c r="A30" s="21" t="s">
        <v>43</v>
      </c>
    </row>
    <row r="31" spans="1:7" x14ac:dyDescent="0.2">
      <c r="A31" s="21" t="s">
        <v>44</v>
      </c>
    </row>
    <row r="32" spans="1:7" ht="16" customHeight="1" x14ac:dyDescent="0.2">
      <c r="A32" s="21" t="s">
        <v>45</v>
      </c>
    </row>
    <row r="33" spans="1:1" x14ac:dyDescent="0.2">
      <c r="A33" s="21" t="s">
        <v>46</v>
      </c>
    </row>
    <row r="34" spans="1:1" ht="16" customHeight="1" x14ac:dyDescent="0.2">
      <c r="A34" s="21" t="s">
        <v>47</v>
      </c>
    </row>
    <row r="35" spans="1:1" x14ac:dyDescent="0.2">
      <c r="A35" s="21" t="s">
        <v>48</v>
      </c>
    </row>
    <row r="36" spans="1:1" x14ac:dyDescent="0.2">
      <c r="A36" s="21" t="s">
        <v>49</v>
      </c>
    </row>
    <row r="37" spans="1:1" x14ac:dyDescent="0.2">
      <c r="A37" s="21" t="s">
        <v>50</v>
      </c>
    </row>
    <row r="38" spans="1:1" x14ac:dyDescent="0.2">
      <c r="A38" s="21" t="s">
        <v>51</v>
      </c>
    </row>
    <row r="39" spans="1:1" x14ac:dyDescent="0.2">
      <c r="A39" s="21" t="s">
        <v>52</v>
      </c>
    </row>
    <row r="40" spans="1:1" x14ac:dyDescent="0.2">
      <c r="A40" s="21" t="s">
        <v>53</v>
      </c>
    </row>
    <row r="41" spans="1:1" x14ac:dyDescent="0.2">
      <c r="A41" s="21" t="s">
        <v>54</v>
      </c>
    </row>
    <row r="42" spans="1:1" x14ac:dyDescent="0.2">
      <c r="A42" s="21" t="s">
        <v>55</v>
      </c>
    </row>
    <row r="43" spans="1:1" x14ac:dyDescent="0.2">
      <c r="A43" s="21" t="s">
        <v>56</v>
      </c>
    </row>
    <row r="44" spans="1:1" x14ac:dyDescent="0.2">
      <c r="A44" s="21" t="s">
        <v>57</v>
      </c>
    </row>
    <row r="45" spans="1:1" x14ac:dyDescent="0.2">
      <c r="A45" s="21" t="s">
        <v>58</v>
      </c>
    </row>
    <row r="46" spans="1:1" x14ac:dyDescent="0.2">
      <c r="A46" s="21" t="s">
        <v>59</v>
      </c>
    </row>
    <row r="47" spans="1:1" x14ac:dyDescent="0.2">
      <c r="A47" s="21" t="s">
        <v>60</v>
      </c>
    </row>
    <row r="48" spans="1:1" ht="16" customHeight="1" x14ac:dyDescent="0.2">
      <c r="A48" s="21" t="s">
        <v>61</v>
      </c>
    </row>
    <row r="49" spans="1:1" x14ac:dyDescent="0.2">
      <c r="A49" s="21" t="s">
        <v>62</v>
      </c>
    </row>
    <row r="50" spans="1:1" ht="16" customHeight="1" x14ac:dyDescent="0.2">
      <c r="A50" s="21" t="s">
        <v>63</v>
      </c>
    </row>
    <row r="51" spans="1:1" x14ac:dyDescent="0.2">
      <c r="A51" s="21" t="s">
        <v>64</v>
      </c>
    </row>
    <row r="52" spans="1:1" x14ac:dyDescent="0.2">
      <c r="A52" s="21" t="s">
        <v>65</v>
      </c>
    </row>
    <row r="53" spans="1:1" x14ac:dyDescent="0.2">
      <c r="A53" s="21" t="s">
        <v>66</v>
      </c>
    </row>
    <row r="54" spans="1:1" x14ac:dyDescent="0.2">
      <c r="A54" s="21" t="s">
        <v>67</v>
      </c>
    </row>
    <row r="55" spans="1:1" x14ac:dyDescent="0.2">
      <c r="A55" s="21" t="s">
        <v>68</v>
      </c>
    </row>
    <row r="56" spans="1:1" x14ac:dyDescent="0.2">
      <c r="A56" s="21" t="s">
        <v>69</v>
      </c>
    </row>
    <row r="57" spans="1:1" x14ac:dyDescent="0.2">
      <c r="A57" s="21" t="s">
        <v>70</v>
      </c>
    </row>
    <row r="58" spans="1:1" x14ac:dyDescent="0.2">
      <c r="A58" s="21" t="s">
        <v>71</v>
      </c>
    </row>
    <row r="59" spans="1:1" x14ac:dyDescent="0.2">
      <c r="A59" s="21" t="s">
        <v>72</v>
      </c>
    </row>
    <row r="60" spans="1:1" x14ac:dyDescent="0.2">
      <c r="A60" s="21" t="s">
        <v>73</v>
      </c>
    </row>
    <row r="61" spans="1:1" x14ac:dyDescent="0.2">
      <c r="A61" s="21" t="s">
        <v>74</v>
      </c>
    </row>
    <row r="62" spans="1:1" x14ac:dyDescent="0.2">
      <c r="A62" s="21" t="s">
        <v>75</v>
      </c>
    </row>
    <row r="63" spans="1:1" x14ac:dyDescent="0.2">
      <c r="A63" s="21" t="s">
        <v>76</v>
      </c>
    </row>
    <row r="64" spans="1:1" ht="16" customHeight="1" x14ac:dyDescent="0.2"/>
    <row r="65" spans="1:4" ht="19" customHeight="1" x14ac:dyDescent="0.2">
      <c r="A65" s="110" t="s">
        <v>77</v>
      </c>
      <c r="B65" s="111"/>
      <c r="C65" s="111"/>
      <c r="D65" s="112"/>
    </row>
    <row r="66" spans="1:4" ht="16" customHeight="1" x14ac:dyDescent="0.2">
      <c r="A66" s="77" t="s">
        <v>78</v>
      </c>
      <c r="B66" s="77" t="s">
        <v>79</v>
      </c>
      <c r="C66" s="77" t="s">
        <v>80</v>
      </c>
      <c r="D66" s="77" t="s">
        <v>81</v>
      </c>
    </row>
    <row r="67" spans="1:4" ht="16" customHeight="1" x14ac:dyDescent="0.2">
      <c r="A67" s="21" t="s">
        <v>82</v>
      </c>
      <c r="B67" s="22"/>
      <c r="C67" s="79"/>
    </row>
    <row r="68" spans="1:4" x14ac:dyDescent="0.2">
      <c r="A68" s="21" t="s">
        <v>83</v>
      </c>
    </row>
    <row r="69" spans="1:4" x14ac:dyDescent="0.2">
      <c r="A69" s="21" t="s">
        <v>84</v>
      </c>
    </row>
    <row r="70" spans="1:4" x14ac:dyDescent="0.2">
      <c r="A70" s="21" t="s">
        <v>85</v>
      </c>
    </row>
    <row r="71" spans="1:4" x14ac:dyDescent="0.2">
      <c r="A71" s="21" t="s">
        <v>86</v>
      </c>
    </row>
    <row r="72" spans="1:4" x14ac:dyDescent="0.2">
      <c r="A72" s="21" t="s">
        <v>87</v>
      </c>
    </row>
    <row r="73" spans="1:4" x14ac:dyDescent="0.2">
      <c r="A73" s="21" t="s">
        <v>88</v>
      </c>
    </row>
    <row r="74" spans="1:4" x14ac:dyDescent="0.2">
      <c r="A74" s="21" t="s">
        <v>89</v>
      </c>
    </row>
    <row r="75" spans="1:4" x14ac:dyDescent="0.2">
      <c r="A75" s="21" t="s">
        <v>90</v>
      </c>
    </row>
    <row r="76" spans="1:4" x14ac:dyDescent="0.2">
      <c r="A76" s="21" t="s">
        <v>91</v>
      </c>
    </row>
    <row r="77" spans="1:4" x14ac:dyDescent="0.2">
      <c r="A77" s="21" t="s">
        <v>92</v>
      </c>
    </row>
    <row r="78" spans="1:4" x14ac:dyDescent="0.2">
      <c r="A78" s="21" t="s">
        <v>93</v>
      </c>
    </row>
    <row r="79" spans="1:4" x14ac:dyDescent="0.2">
      <c r="A79" s="21" t="s">
        <v>94</v>
      </c>
    </row>
    <row r="80" spans="1:4" ht="16" customHeight="1" x14ac:dyDescent="0.2">
      <c r="A80" s="21" t="s">
        <v>95</v>
      </c>
      <c r="C80" s="80"/>
    </row>
    <row r="81" spans="1:3" ht="16" customHeight="1" x14ac:dyDescent="0.2">
      <c r="A81" s="21" t="s">
        <v>96</v>
      </c>
      <c r="B81" s="21" t="s">
        <v>97</v>
      </c>
      <c r="C81" s="79"/>
    </row>
    <row r="82" spans="1:3" ht="16" customHeight="1" x14ac:dyDescent="0.2">
      <c r="A82" s="21" t="s">
        <v>98</v>
      </c>
      <c r="B82" s="21" t="s">
        <v>99</v>
      </c>
      <c r="C82" s="80"/>
    </row>
    <row r="83" spans="1:3" ht="16" customHeight="1" x14ac:dyDescent="0.2">
      <c r="A83" s="21" t="s">
        <v>100</v>
      </c>
      <c r="C83" s="79"/>
    </row>
    <row r="84" spans="1:3" x14ac:dyDescent="0.2">
      <c r="A84" s="21" t="s">
        <v>101</v>
      </c>
    </row>
    <row r="85" spans="1:3" x14ac:dyDescent="0.2">
      <c r="A85" s="21" t="s">
        <v>102</v>
      </c>
    </row>
    <row r="86" spans="1:3" x14ac:dyDescent="0.2">
      <c r="A86" s="21" t="s">
        <v>103</v>
      </c>
    </row>
    <row r="87" spans="1:3" x14ac:dyDescent="0.2">
      <c r="A87" s="21" t="s">
        <v>104</v>
      </c>
    </row>
    <row r="88" spans="1:3" x14ac:dyDescent="0.2">
      <c r="A88" s="21" t="s">
        <v>105</v>
      </c>
    </row>
    <row r="89" spans="1:3" x14ac:dyDescent="0.2">
      <c r="A89" s="21" t="s">
        <v>106</v>
      </c>
    </row>
    <row r="90" spans="1:3" x14ac:dyDescent="0.2">
      <c r="A90" s="21" t="s">
        <v>107</v>
      </c>
    </row>
    <row r="91" spans="1:3" x14ac:dyDescent="0.2">
      <c r="A91" s="21" t="s">
        <v>108</v>
      </c>
    </row>
    <row r="92" spans="1:3" x14ac:dyDescent="0.2">
      <c r="A92" s="21" t="s">
        <v>109</v>
      </c>
    </row>
    <row r="93" spans="1:3" x14ac:dyDescent="0.2">
      <c r="A93" s="21" t="s">
        <v>110</v>
      </c>
    </row>
    <row r="94" spans="1:3" x14ac:dyDescent="0.2">
      <c r="A94" s="21" t="s">
        <v>111</v>
      </c>
    </row>
    <row r="95" spans="1:3" x14ac:dyDescent="0.2">
      <c r="A95" s="21" t="s">
        <v>112</v>
      </c>
    </row>
    <row r="96" spans="1:3" ht="16" customHeight="1" x14ac:dyDescent="0.2">
      <c r="A96" s="21" t="s">
        <v>113</v>
      </c>
      <c r="C96" s="80"/>
    </row>
    <row r="97" spans="1:3" ht="16" customHeight="1" x14ac:dyDescent="0.2">
      <c r="A97" s="21" t="s">
        <v>114</v>
      </c>
      <c r="B97" s="21" t="s">
        <v>115</v>
      </c>
      <c r="C97" s="79"/>
    </row>
    <row r="98" spans="1:3" ht="16" customHeight="1" x14ac:dyDescent="0.2">
      <c r="A98" s="21" t="s">
        <v>116</v>
      </c>
      <c r="B98" s="21" t="s">
        <v>117</v>
      </c>
      <c r="C98" s="80"/>
    </row>
    <row r="99" spans="1:3" ht="16" customHeight="1" x14ac:dyDescent="0.2">
      <c r="A99" s="21" t="s">
        <v>118</v>
      </c>
      <c r="C99" s="79"/>
    </row>
    <row r="100" spans="1:3" x14ac:dyDescent="0.2">
      <c r="A100" s="21" t="s">
        <v>119</v>
      </c>
    </row>
    <row r="101" spans="1:3" x14ac:dyDescent="0.2">
      <c r="A101" s="21" t="s">
        <v>120</v>
      </c>
    </row>
    <row r="102" spans="1:3" x14ac:dyDescent="0.2">
      <c r="A102" s="21" t="s">
        <v>121</v>
      </c>
    </row>
    <row r="103" spans="1:3" x14ac:dyDescent="0.2">
      <c r="A103" s="21" t="s">
        <v>122</v>
      </c>
    </row>
    <row r="104" spans="1:3" x14ac:dyDescent="0.2">
      <c r="A104" s="21" t="s">
        <v>123</v>
      </c>
    </row>
    <row r="105" spans="1:3" x14ac:dyDescent="0.2">
      <c r="A105" s="21" t="s">
        <v>124</v>
      </c>
    </row>
    <row r="106" spans="1:3" x14ac:dyDescent="0.2">
      <c r="A106" s="21" t="s">
        <v>125</v>
      </c>
    </row>
    <row r="107" spans="1:3" x14ac:dyDescent="0.2">
      <c r="A107" s="21" t="s">
        <v>126</v>
      </c>
    </row>
    <row r="108" spans="1:3" x14ac:dyDescent="0.2">
      <c r="A108" s="21" t="s">
        <v>127</v>
      </c>
      <c r="B108" s="22"/>
    </row>
    <row r="109" spans="1:3" x14ac:dyDescent="0.2">
      <c r="A109" s="21" t="s">
        <v>128</v>
      </c>
      <c r="B109" s="22"/>
    </row>
    <row r="110" spans="1:3" x14ac:dyDescent="0.2">
      <c r="A110" s="21" t="s">
        <v>129</v>
      </c>
      <c r="B110" s="22"/>
    </row>
    <row r="111" spans="1:3" x14ac:dyDescent="0.2">
      <c r="A111" s="21" t="s">
        <v>130</v>
      </c>
      <c r="B111" s="22"/>
    </row>
    <row r="112" spans="1:3" ht="16" customHeight="1" x14ac:dyDescent="0.2">
      <c r="A112" s="21" t="s">
        <v>131</v>
      </c>
      <c r="B112" s="22"/>
      <c r="C112" s="80"/>
    </row>
    <row r="113" spans="1:3" ht="16" customHeight="1" x14ac:dyDescent="0.2">
      <c r="A113" s="21" t="s">
        <v>132</v>
      </c>
      <c r="B113" s="21" t="s">
        <v>133</v>
      </c>
      <c r="C113" s="79"/>
    </row>
    <row r="114" spans="1:3" ht="16" customHeight="1" x14ac:dyDescent="0.2">
      <c r="A114" s="21" t="s">
        <v>134</v>
      </c>
      <c r="B114" s="21" t="s">
        <v>135</v>
      </c>
      <c r="C114" s="80"/>
    </row>
    <row r="115" spans="1:3" ht="16" customHeight="1" x14ac:dyDescent="0.2">
      <c r="A115" s="21" t="s">
        <v>136</v>
      </c>
      <c r="C115" s="79"/>
    </row>
    <row r="116" spans="1:3" x14ac:dyDescent="0.2">
      <c r="A116" s="21" t="s">
        <v>137</v>
      </c>
    </row>
    <row r="117" spans="1:3" x14ac:dyDescent="0.2">
      <c r="A117" s="21" t="s">
        <v>138</v>
      </c>
    </row>
    <row r="118" spans="1:3" x14ac:dyDescent="0.2">
      <c r="A118" s="21" t="s">
        <v>139</v>
      </c>
    </row>
    <row r="119" spans="1:3" x14ac:dyDescent="0.2">
      <c r="A119" s="21" t="s">
        <v>140</v>
      </c>
    </row>
    <row r="120" spans="1:3" x14ac:dyDescent="0.2">
      <c r="A120" s="21" t="s">
        <v>141</v>
      </c>
    </row>
    <row r="121" spans="1:3" x14ac:dyDescent="0.2">
      <c r="A121" s="21" t="s">
        <v>142</v>
      </c>
    </row>
    <row r="122" spans="1:3" x14ac:dyDescent="0.2">
      <c r="A122" s="21" t="s">
        <v>143</v>
      </c>
    </row>
    <row r="123" spans="1:3" x14ac:dyDescent="0.2">
      <c r="A123" s="21" t="s">
        <v>144</v>
      </c>
    </row>
    <row r="124" spans="1:3" x14ac:dyDescent="0.2">
      <c r="A124" s="21" t="s">
        <v>145</v>
      </c>
    </row>
    <row r="125" spans="1:3" x14ac:dyDescent="0.2">
      <c r="A125" s="21" t="s">
        <v>146</v>
      </c>
    </row>
    <row r="126" spans="1:3" x14ac:dyDescent="0.2">
      <c r="A126" s="21" t="s">
        <v>147</v>
      </c>
    </row>
    <row r="127" spans="1:3" x14ac:dyDescent="0.2">
      <c r="A127" s="21" t="s">
        <v>148</v>
      </c>
    </row>
    <row r="128" spans="1:3" ht="16" customHeight="1" x14ac:dyDescent="0.2">
      <c r="A128" s="21" t="s">
        <v>149</v>
      </c>
      <c r="B128" s="22"/>
      <c r="C128" s="80"/>
    </row>
    <row r="129" spans="1:3" ht="16" customHeight="1" x14ac:dyDescent="0.2">
      <c r="A129" s="21" t="s">
        <v>150</v>
      </c>
      <c r="B129" s="22" t="s">
        <v>151</v>
      </c>
      <c r="C129" s="79"/>
    </row>
    <row r="130" spans="1:3" ht="16" customHeight="1" x14ac:dyDescent="0.2">
      <c r="A130" s="21" t="s">
        <v>152</v>
      </c>
      <c r="B130" s="74" t="s">
        <v>153</v>
      </c>
      <c r="C130" s="80"/>
    </row>
    <row r="131" spans="1:3" ht="16" customHeight="1" x14ac:dyDescent="0.2">
      <c r="A131" s="21" t="s">
        <v>154</v>
      </c>
      <c r="C131" s="79"/>
    </row>
    <row r="132" spans="1:3" x14ac:dyDescent="0.2">
      <c r="A132" s="21" t="s">
        <v>155</v>
      </c>
    </row>
    <row r="133" spans="1:3" x14ac:dyDescent="0.2">
      <c r="A133" s="21" t="s">
        <v>156</v>
      </c>
    </row>
    <row r="134" spans="1:3" x14ac:dyDescent="0.2">
      <c r="A134" s="21" t="s">
        <v>157</v>
      </c>
    </row>
    <row r="135" spans="1:3" x14ac:dyDescent="0.2">
      <c r="A135" s="21" t="s">
        <v>158</v>
      </c>
    </row>
    <row r="136" spans="1:3" x14ac:dyDescent="0.2">
      <c r="A136" s="21" t="s">
        <v>159</v>
      </c>
    </row>
    <row r="137" spans="1:3" x14ac:dyDescent="0.2">
      <c r="A137" s="21" t="s">
        <v>160</v>
      </c>
    </row>
    <row r="138" spans="1:3" x14ac:dyDescent="0.2">
      <c r="A138" s="21" t="s">
        <v>161</v>
      </c>
    </row>
    <row r="139" spans="1:3" x14ac:dyDescent="0.2">
      <c r="A139" s="21" t="s">
        <v>162</v>
      </c>
    </row>
    <row r="140" spans="1:3" x14ac:dyDescent="0.2">
      <c r="A140" s="21" t="s">
        <v>163</v>
      </c>
    </row>
    <row r="141" spans="1:3" x14ac:dyDescent="0.2">
      <c r="A141" s="21" t="s">
        <v>164</v>
      </c>
    </row>
    <row r="142" spans="1:3" x14ac:dyDescent="0.2">
      <c r="A142" s="21" t="s">
        <v>165</v>
      </c>
    </row>
    <row r="143" spans="1:3" x14ac:dyDescent="0.2">
      <c r="A143" s="21" t="s">
        <v>166</v>
      </c>
    </row>
    <row r="144" spans="1:3" ht="16" customHeight="1" x14ac:dyDescent="0.2">
      <c r="A144" s="21" t="s">
        <v>167</v>
      </c>
      <c r="B144" s="22"/>
      <c r="C144" s="80"/>
    </row>
    <row r="145" spans="1:3" ht="16" customHeight="1" x14ac:dyDescent="0.2">
      <c r="A145" s="21" t="s">
        <v>168</v>
      </c>
      <c r="B145" s="22" t="s">
        <v>169</v>
      </c>
      <c r="C145" s="79"/>
    </row>
    <row r="146" spans="1:3" ht="16" customHeight="1" x14ac:dyDescent="0.2">
      <c r="A146" s="21" t="s">
        <v>170</v>
      </c>
      <c r="B146" s="74" t="s">
        <v>171</v>
      </c>
      <c r="C146" s="80"/>
    </row>
    <row r="147" spans="1:3" ht="16" customHeight="1" x14ac:dyDescent="0.2">
      <c r="A147" s="21" t="s">
        <v>172</v>
      </c>
      <c r="C147" s="79"/>
    </row>
    <row r="148" spans="1:3" x14ac:dyDescent="0.2">
      <c r="A148" s="21" t="s">
        <v>173</v>
      </c>
    </row>
    <row r="149" spans="1:3" x14ac:dyDescent="0.2">
      <c r="A149" s="21" t="s">
        <v>174</v>
      </c>
    </row>
    <row r="150" spans="1:3" x14ac:dyDescent="0.2">
      <c r="A150" s="21" t="s">
        <v>175</v>
      </c>
    </row>
    <row r="151" spans="1:3" x14ac:dyDescent="0.2">
      <c r="A151" s="21" t="s">
        <v>176</v>
      </c>
    </row>
    <row r="152" spans="1:3" x14ac:dyDescent="0.2">
      <c r="A152" s="21" t="s">
        <v>177</v>
      </c>
    </row>
    <row r="153" spans="1:3" x14ac:dyDescent="0.2">
      <c r="A153" s="21" t="s">
        <v>178</v>
      </c>
    </row>
    <row r="154" spans="1:3" x14ac:dyDescent="0.2">
      <c r="A154" s="21" t="s">
        <v>179</v>
      </c>
    </row>
    <row r="155" spans="1:3" x14ac:dyDescent="0.2">
      <c r="A155" s="21" t="s">
        <v>180</v>
      </c>
    </row>
    <row r="156" spans="1:3" x14ac:dyDescent="0.2">
      <c r="A156" s="21" t="s">
        <v>181</v>
      </c>
    </row>
    <row r="157" spans="1:3" x14ac:dyDescent="0.2">
      <c r="A157" s="21" t="s">
        <v>182</v>
      </c>
    </row>
    <row r="158" spans="1:3" x14ac:dyDescent="0.2">
      <c r="A158" s="21" t="s">
        <v>183</v>
      </c>
    </row>
    <row r="159" spans="1:3" x14ac:dyDescent="0.2">
      <c r="A159" s="21" t="s">
        <v>184</v>
      </c>
    </row>
    <row r="160" spans="1:3" ht="16" customHeight="1" x14ac:dyDescent="0.2">
      <c r="A160" s="21" t="s">
        <v>185</v>
      </c>
      <c r="B160" s="22"/>
      <c r="C160" s="80"/>
    </row>
    <row r="161" spans="1:3" ht="16" customHeight="1" x14ac:dyDescent="0.2">
      <c r="A161" s="21" t="s">
        <v>186</v>
      </c>
      <c r="B161" s="22" t="s">
        <v>187</v>
      </c>
      <c r="C161" s="79"/>
    </row>
    <row r="162" spans="1:3" ht="16" customHeight="1" x14ac:dyDescent="0.2">
      <c r="A162" s="21" t="s">
        <v>188</v>
      </c>
      <c r="B162" s="74" t="s">
        <v>189</v>
      </c>
      <c r="C162" s="80"/>
    </row>
    <row r="163" spans="1:3" ht="16" customHeight="1" x14ac:dyDescent="0.2">
      <c r="A163" s="21" t="s">
        <v>190</v>
      </c>
      <c r="C163" s="79"/>
    </row>
    <row r="164" spans="1:3" x14ac:dyDescent="0.2">
      <c r="A164" s="21" t="s">
        <v>191</v>
      </c>
    </row>
    <row r="165" spans="1:3" x14ac:dyDescent="0.2">
      <c r="A165" s="21" t="s">
        <v>192</v>
      </c>
    </row>
    <row r="166" spans="1:3" x14ac:dyDescent="0.2">
      <c r="A166" s="21" t="s">
        <v>193</v>
      </c>
    </row>
    <row r="167" spans="1:3" x14ac:dyDescent="0.2">
      <c r="A167" s="21" t="s">
        <v>194</v>
      </c>
    </row>
    <row r="168" spans="1:3" x14ac:dyDescent="0.2">
      <c r="A168" s="21" t="s">
        <v>195</v>
      </c>
    </row>
    <row r="169" spans="1:3" x14ac:dyDescent="0.2">
      <c r="A169" s="21" t="s">
        <v>196</v>
      </c>
    </row>
    <row r="170" spans="1:3" x14ac:dyDescent="0.2">
      <c r="A170" s="21" t="s">
        <v>197</v>
      </c>
    </row>
    <row r="171" spans="1:3" x14ac:dyDescent="0.2">
      <c r="A171" s="21" t="s">
        <v>198</v>
      </c>
    </row>
    <row r="172" spans="1:3" x14ac:dyDescent="0.2">
      <c r="A172" s="21" t="s">
        <v>199</v>
      </c>
    </row>
    <row r="173" spans="1:3" x14ac:dyDescent="0.2">
      <c r="A173" s="21" t="s">
        <v>200</v>
      </c>
      <c r="B173" s="22"/>
    </row>
    <row r="174" spans="1:3" x14ac:dyDescent="0.2">
      <c r="A174" s="21" t="s">
        <v>201</v>
      </c>
      <c r="B174" s="22"/>
    </row>
    <row r="175" spans="1:3" x14ac:dyDescent="0.2">
      <c r="A175" s="21" t="s">
        <v>202</v>
      </c>
      <c r="B175" s="22"/>
    </row>
    <row r="176" spans="1:3" ht="16" customHeight="1" x14ac:dyDescent="0.2">
      <c r="A176" s="21" t="s">
        <v>203</v>
      </c>
      <c r="B176" s="22"/>
      <c r="C176" s="80"/>
    </row>
    <row r="177" spans="1:3" ht="16" customHeight="1" x14ac:dyDescent="0.2">
      <c r="A177" s="21" t="s">
        <v>204</v>
      </c>
      <c r="B177" s="22"/>
      <c r="C177" s="79"/>
    </row>
    <row r="178" spans="1:3" ht="16" customHeight="1" x14ac:dyDescent="0.2">
      <c r="A178" s="21" t="s">
        <v>205</v>
      </c>
      <c r="B178" s="22"/>
      <c r="C178" s="80"/>
    </row>
    <row r="179" spans="1:3" ht="16" customHeight="1" x14ac:dyDescent="0.2">
      <c r="A179" s="21" t="s">
        <v>206</v>
      </c>
      <c r="C179" s="79"/>
    </row>
    <row r="180" spans="1:3" x14ac:dyDescent="0.2">
      <c r="A180" s="21" t="s">
        <v>207</v>
      </c>
    </row>
    <row r="181" spans="1:3" x14ac:dyDescent="0.2">
      <c r="A181" s="21" t="s">
        <v>208</v>
      </c>
      <c r="B181" s="74" t="s">
        <v>209</v>
      </c>
    </row>
    <row r="182" spans="1:3" x14ac:dyDescent="0.2">
      <c r="A182" s="21" t="s">
        <v>210</v>
      </c>
      <c r="B182" s="74" t="s">
        <v>211</v>
      </c>
    </row>
    <row r="183" spans="1:3" x14ac:dyDescent="0.2">
      <c r="A183" s="21" t="s">
        <v>212</v>
      </c>
    </row>
    <row r="184" spans="1:3" x14ac:dyDescent="0.2">
      <c r="A184" s="21" t="s">
        <v>213</v>
      </c>
    </row>
    <row r="185" spans="1:3" x14ac:dyDescent="0.2">
      <c r="A185" s="21" t="s">
        <v>214</v>
      </c>
    </row>
    <row r="186" spans="1:3" x14ac:dyDescent="0.2">
      <c r="A186" s="21" t="s">
        <v>215</v>
      </c>
    </row>
    <row r="187" spans="1:3" x14ac:dyDescent="0.2">
      <c r="A187" s="21" t="s">
        <v>216</v>
      </c>
    </row>
    <row r="188" spans="1:3" x14ac:dyDescent="0.2">
      <c r="A188" s="21" t="s">
        <v>217</v>
      </c>
    </row>
    <row r="189" spans="1:3" x14ac:dyDescent="0.2">
      <c r="A189" s="21" t="s">
        <v>218</v>
      </c>
    </row>
    <row r="190" spans="1:3" x14ac:dyDescent="0.2">
      <c r="A190" s="21" t="s">
        <v>219</v>
      </c>
    </row>
    <row r="191" spans="1:3" x14ac:dyDescent="0.2">
      <c r="A191" s="21" t="s">
        <v>220</v>
      </c>
    </row>
    <row r="192" spans="1:3" ht="16" customHeight="1" x14ac:dyDescent="0.2">
      <c r="A192" s="21" t="s">
        <v>221</v>
      </c>
      <c r="C192" s="80"/>
    </row>
    <row r="193" spans="1:3" ht="16" customHeight="1" x14ac:dyDescent="0.2">
      <c r="A193" s="21" t="s">
        <v>222</v>
      </c>
      <c r="B193" s="22"/>
      <c r="C193" s="79"/>
    </row>
    <row r="194" spans="1:3" ht="16" customHeight="1" x14ac:dyDescent="0.2">
      <c r="A194" s="21" t="s">
        <v>223</v>
      </c>
      <c r="B194" s="22"/>
      <c r="C194" s="80"/>
    </row>
    <row r="195" spans="1:3" ht="16" customHeight="1" x14ac:dyDescent="0.2">
      <c r="A195" s="21" t="s">
        <v>224</v>
      </c>
      <c r="C195" s="79"/>
    </row>
    <row r="196" spans="1:3" x14ac:dyDescent="0.2">
      <c r="A196" s="21" t="s">
        <v>225</v>
      </c>
    </row>
    <row r="197" spans="1:3" x14ac:dyDescent="0.2">
      <c r="A197" s="21" t="s">
        <v>226</v>
      </c>
      <c r="B197" s="74" t="s">
        <v>227</v>
      </c>
    </row>
    <row r="198" spans="1:3" x14ac:dyDescent="0.2">
      <c r="A198" s="21" t="s">
        <v>228</v>
      </c>
      <c r="B198" s="74" t="s">
        <v>229</v>
      </c>
    </row>
    <row r="199" spans="1:3" x14ac:dyDescent="0.2">
      <c r="A199" s="21" t="s">
        <v>230</v>
      </c>
    </row>
    <row r="200" spans="1:3" x14ac:dyDescent="0.2">
      <c r="A200" s="21" t="s">
        <v>231</v>
      </c>
    </row>
    <row r="201" spans="1:3" x14ac:dyDescent="0.2">
      <c r="A201" s="21" t="s">
        <v>232</v>
      </c>
    </row>
    <row r="202" spans="1:3" x14ac:dyDescent="0.2">
      <c r="A202" s="21" t="s">
        <v>233</v>
      </c>
    </row>
    <row r="203" spans="1:3" x14ac:dyDescent="0.2">
      <c r="A203" s="21" t="s">
        <v>234</v>
      </c>
    </row>
    <row r="204" spans="1:3" x14ac:dyDescent="0.2">
      <c r="A204" s="21" t="s">
        <v>235</v>
      </c>
    </row>
    <row r="205" spans="1:3" x14ac:dyDescent="0.2">
      <c r="A205" s="21" t="s">
        <v>236</v>
      </c>
    </row>
    <row r="206" spans="1:3" x14ac:dyDescent="0.2">
      <c r="A206" s="21" t="s">
        <v>237</v>
      </c>
    </row>
    <row r="207" spans="1:3" x14ac:dyDescent="0.2">
      <c r="A207" s="21" t="s">
        <v>238</v>
      </c>
    </row>
    <row r="208" spans="1:3" ht="16" customHeight="1" x14ac:dyDescent="0.2">
      <c r="A208" s="21" t="s">
        <v>239</v>
      </c>
      <c r="B208" s="22"/>
      <c r="C208" s="80"/>
    </row>
    <row r="209" spans="1:3" ht="16" customHeight="1" x14ac:dyDescent="0.2">
      <c r="A209" s="21" t="s">
        <v>240</v>
      </c>
      <c r="B209" s="22"/>
      <c r="C209" s="79"/>
    </row>
    <row r="210" spans="1:3" ht="16" customHeight="1" x14ac:dyDescent="0.2">
      <c r="A210" s="21" t="s">
        <v>241</v>
      </c>
      <c r="B210" s="22"/>
      <c r="C210" s="80"/>
    </row>
    <row r="211" spans="1:3" ht="16" customHeight="1" x14ac:dyDescent="0.2">
      <c r="A211" s="21" t="s">
        <v>242</v>
      </c>
      <c r="C211" s="79"/>
    </row>
    <row r="212" spans="1:3" x14ac:dyDescent="0.2">
      <c r="A212" s="21" t="s">
        <v>243</v>
      </c>
    </row>
    <row r="213" spans="1:3" x14ac:dyDescent="0.2">
      <c r="A213" s="21" t="s">
        <v>244</v>
      </c>
      <c r="B213" s="74" t="s">
        <v>245</v>
      </c>
    </row>
    <row r="214" spans="1:3" x14ac:dyDescent="0.2">
      <c r="A214" s="21" t="s">
        <v>246</v>
      </c>
      <c r="B214" s="74" t="s">
        <v>247</v>
      </c>
    </row>
    <row r="215" spans="1:3" x14ac:dyDescent="0.2">
      <c r="A215" s="21" t="s">
        <v>248</v>
      </c>
    </row>
    <row r="216" spans="1:3" x14ac:dyDescent="0.2">
      <c r="A216" s="21" t="s">
        <v>249</v>
      </c>
    </row>
    <row r="217" spans="1:3" x14ac:dyDescent="0.2">
      <c r="A217" s="21" t="s">
        <v>250</v>
      </c>
    </row>
    <row r="218" spans="1:3" x14ac:dyDescent="0.2">
      <c r="A218" s="21" t="s">
        <v>251</v>
      </c>
    </row>
    <row r="219" spans="1:3" x14ac:dyDescent="0.2">
      <c r="A219" s="21" t="s">
        <v>252</v>
      </c>
    </row>
    <row r="220" spans="1:3" x14ac:dyDescent="0.2">
      <c r="A220" s="21" t="s">
        <v>253</v>
      </c>
    </row>
    <row r="221" spans="1:3" x14ac:dyDescent="0.2">
      <c r="A221" s="21" t="s">
        <v>254</v>
      </c>
    </row>
    <row r="222" spans="1:3" x14ac:dyDescent="0.2">
      <c r="A222" s="21" t="s">
        <v>255</v>
      </c>
    </row>
    <row r="223" spans="1:3" x14ac:dyDescent="0.2">
      <c r="A223" s="21" t="s">
        <v>256</v>
      </c>
    </row>
    <row r="224" spans="1:3" ht="16" customHeight="1" x14ac:dyDescent="0.2">
      <c r="A224" s="21" t="s">
        <v>257</v>
      </c>
      <c r="B224" s="22"/>
      <c r="C224" s="80"/>
    </row>
    <row r="225" spans="1:3" ht="16" customHeight="1" x14ac:dyDescent="0.2">
      <c r="A225" s="21" t="s">
        <v>258</v>
      </c>
      <c r="B225" s="22"/>
      <c r="C225" s="79"/>
    </row>
    <row r="226" spans="1:3" ht="16" customHeight="1" x14ac:dyDescent="0.2">
      <c r="A226" s="21" t="s">
        <v>259</v>
      </c>
      <c r="B226" s="22"/>
      <c r="C226" s="80"/>
    </row>
    <row r="227" spans="1:3" ht="16" customHeight="1" x14ac:dyDescent="0.2">
      <c r="A227" s="21" t="s">
        <v>260</v>
      </c>
      <c r="C227" s="79"/>
    </row>
    <row r="228" spans="1:3" x14ac:dyDescent="0.2">
      <c r="A228" s="21" t="s">
        <v>261</v>
      </c>
    </row>
    <row r="229" spans="1:3" x14ac:dyDescent="0.2">
      <c r="A229" s="21" t="s">
        <v>262</v>
      </c>
      <c r="B229" s="74" t="s">
        <v>263</v>
      </c>
    </row>
    <row r="230" spans="1:3" x14ac:dyDescent="0.2">
      <c r="A230" s="21" t="s">
        <v>264</v>
      </c>
      <c r="B230" s="74" t="s">
        <v>265</v>
      </c>
    </row>
    <row r="231" spans="1:3" x14ac:dyDescent="0.2">
      <c r="A231" s="21" t="s">
        <v>266</v>
      </c>
    </row>
    <row r="232" spans="1:3" x14ac:dyDescent="0.2">
      <c r="A232" s="21" t="s">
        <v>267</v>
      </c>
    </row>
    <row r="233" spans="1:3" x14ac:dyDescent="0.2">
      <c r="A233" s="21" t="s">
        <v>268</v>
      </c>
    </row>
    <row r="234" spans="1:3" x14ac:dyDescent="0.2">
      <c r="A234" s="21" t="s">
        <v>269</v>
      </c>
    </row>
    <row r="235" spans="1:3" x14ac:dyDescent="0.2">
      <c r="A235" s="21" t="s">
        <v>270</v>
      </c>
    </row>
    <row r="236" spans="1:3" x14ac:dyDescent="0.2">
      <c r="A236" s="21" t="s">
        <v>271</v>
      </c>
    </row>
    <row r="237" spans="1:3" x14ac:dyDescent="0.2">
      <c r="A237" s="21" t="s">
        <v>272</v>
      </c>
    </row>
    <row r="238" spans="1:3" x14ac:dyDescent="0.2">
      <c r="A238" s="21" t="s">
        <v>273</v>
      </c>
    </row>
    <row r="239" spans="1:3" x14ac:dyDescent="0.2">
      <c r="A239" s="21" t="s">
        <v>274</v>
      </c>
    </row>
    <row r="240" spans="1:3" ht="16" customHeight="1" x14ac:dyDescent="0.2">
      <c r="A240" s="21" t="s">
        <v>275</v>
      </c>
      <c r="B240" s="22"/>
      <c r="C240" s="80"/>
    </row>
    <row r="241" spans="1:3" ht="16" customHeight="1" x14ac:dyDescent="0.2">
      <c r="A241" s="21" t="s">
        <v>276</v>
      </c>
      <c r="B241" s="22"/>
      <c r="C241" s="79"/>
    </row>
    <row r="242" spans="1:3" ht="16" customHeight="1" x14ac:dyDescent="0.2">
      <c r="A242" s="21" t="s">
        <v>277</v>
      </c>
      <c r="C242" s="80"/>
    </row>
    <row r="243" spans="1:3" ht="16" customHeight="1" x14ac:dyDescent="0.2">
      <c r="A243" s="21" t="s">
        <v>278</v>
      </c>
      <c r="C243" s="79"/>
    </row>
    <row r="244" spans="1:3" x14ac:dyDescent="0.2">
      <c r="A244" s="21" t="s">
        <v>279</v>
      </c>
    </row>
    <row r="245" spans="1:3" x14ac:dyDescent="0.2">
      <c r="A245" s="21" t="s">
        <v>280</v>
      </c>
      <c r="B245" s="74" t="s">
        <v>281</v>
      </c>
    </row>
    <row r="246" spans="1:3" x14ac:dyDescent="0.2">
      <c r="A246" s="21" t="s">
        <v>282</v>
      </c>
      <c r="B246" s="74" t="s">
        <v>283</v>
      </c>
    </row>
    <row r="247" spans="1:3" x14ac:dyDescent="0.2">
      <c r="A247" s="21" t="s">
        <v>284</v>
      </c>
    </row>
    <row r="248" spans="1:3" x14ac:dyDescent="0.2">
      <c r="A248" s="21" t="s">
        <v>285</v>
      </c>
    </row>
    <row r="249" spans="1:3" x14ac:dyDescent="0.2">
      <c r="A249" s="21" t="s">
        <v>286</v>
      </c>
    </row>
    <row r="250" spans="1:3" x14ac:dyDescent="0.2">
      <c r="A250" s="21" t="s">
        <v>287</v>
      </c>
    </row>
    <row r="251" spans="1:3" x14ac:dyDescent="0.2">
      <c r="A251" s="21" t="s">
        <v>288</v>
      </c>
    </row>
    <row r="252" spans="1:3" x14ac:dyDescent="0.2">
      <c r="A252" s="21" t="s">
        <v>289</v>
      </c>
    </row>
    <row r="253" spans="1:3" x14ac:dyDescent="0.2">
      <c r="A253" s="21" t="s">
        <v>290</v>
      </c>
    </row>
    <row r="254" spans="1:3" x14ac:dyDescent="0.2">
      <c r="A254" s="21" t="s">
        <v>291</v>
      </c>
    </row>
    <row r="255" spans="1:3" x14ac:dyDescent="0.2">
      <c r="A255" s="21" t="s">
        <v>292</v>
      </c>
    </row>
    <row r="256" spans="1:3" ht="16" customHeight="1" x14ac:dyDescent="0.2">
      <c r="A256" s="21" t="s">
        <v>293</v>
      </c>
      <c r="C256" s="80"/>
    </row>
    <row r="257" spans="1:3" ht="16" customHeight="1" x14ac:dyDescent="0.2">
      <c r="A257" s="21" t="s">
        <v>294</v>
      </c>
      <c r="C257" s="79"/>
    </row>
    <row r="258" spans="1:3" ht="16" customHeight="1" x14ac:dyDescent="0.2">
      <c r="A258" s="21" t="s">
        <v>295</v>
      </c>
      <c r="C258" s="80"/>
    </row>
    <row r="259" spans="1:3" ht="16" customHeight="1" x14ac:dyDescent="0.2">
      <c r="A259" s="21" t="s">
        <v>296</v>
      </c>
      <c r="C259" s="79"/>
    </row>
    <row r="260" spans="1:3" x14ac:dyDescent="0.2">
      <c r="A260" s="21" t="s">
        <v>297</v>
      </c>
    </row>
    <row r="261" spans="1:3" x14ac:dyDescent="0.2">
      <c r="A261" s="21" t="s">
        <v>298</v>
      </c>
      <c r="B261" s="74" t="s">
        <v>299</v>
      </c>
    </row>
    <row r="262" spans="1:3" x14ac:dyDescent="0.2">
      <c r="A262" s="21" t="s">
        <v>300</v>
      </c>
      <c r="B262" s="74" t="s">
        <v>301</v>
      </c>
    </row>
    <row r="263" spans="1:3" x14ac:dyDescent="0.2">
      <c r="A263" s="21" t="s">
        <v>302</v>
      </c>
    </row>
    <row r="264" spans="1:3" x14ac:dyDescent="0.2">
      <c r="A264" s="21" t="s">
        <v>303</v>
      </c>
    </row>
    <row r="265" spans="1:3" x14ac:dyDescent="0.2">
      <c r="A265" s="21" t="s">
        <v>304</v>
      </c>
    </row>
    <row r="266" spans="1:3" x14ac:dyDescent="0.2">
      <c r="A266" s="21" t="s">
        <v>305</v>
      </c>
    </row>
    <row r="267" spans="1:3" x14ac:dyDescent="0.2">
      <c r="A267" s="21" t="s">
        <v>306</v>
      </c>
    </row>
    <row r="268" spans="1:3" x14ac:dyDescent="0.2">
      <c r="A268" s="21" t="s">
        <v>307</v>
      </c>
    </row>
    <row r="269" spans="1:3" x14ac:dyDescent="0.2">
      <c r="A269" s="21" t="s">
        <v>308</v>
      </c>
    </row>
    <row r="270" spans="1:3" x14ac:dyDescent="0.2">
      <c r="A270" s="21" t="s">
        <v>309</v>
      </c>
    </row>
    <row r="271" spans="1:3" ht="16" customHeight="1" x14ac:dyDescent="0.2">
      <c r="A271" s="21" t="s">
        <v>310</v>
      </c>
      <c r="C271" s="80"/>
    </row>
    <row r="272" spans="1:3" x14ac:dyDescent="0.2">
      <c r="A272" s="21" t="s">
        <v>311</v>
      </c>
    </row>
    <row r="273" spans="1:3" ht="16" customHeight="1" x14ac:dyDescent="0.2">
      <c r="A273" s="21" t="s">
        <v>312</v>
      </c>
      <c r="B273" s="22"/>
      <c r="C273" s="80"/>
    </row>
    <row r="274" spans="1:3" x14ac:dyDescent="0.2">
      <c r="A274" s="21" t="s">
        <v>313</v>
      </c>
      <c r="B274" s="22"/>
    </row>
    <row r="275" spans="1:3" ht="16" customHeight="1" x14ac:dyDescent="0.2">
      <c r="A275" s="21" t="s">
        <v>314</v>
      </c>
      <c r="C275" s="79"/>
    </row>
    <row r="276" spans="1:3" x14ac:dyDescent="0.2">
      <c r="A276" s="21" t="s">
        <v>315</v>
      </c>
    </row>
    <row r="277" spans="1:3" x14ac:dyDescent="0.2">
      <c r="A277" s="21" t="s">
        <v>316</v>
      </c>
    </row>
    <row r="278" spans="1:3" x14ac:dyDescent="0.2">
      <c r="A278" s="21" t="s">
        <v>317</v>
      </c>
    </row>
    <row r="279" spans="1:3" x14ac:dyDescent="0.2">
      <c r="A279" s="21" t="s">
        <v>318</v>
      </c>
    </row>
    <row r="280" spans="1:3" x14ac:dyDescent="0.2">
      <c r="A280" s="21" t="s">
        <v>319</v>
      </c>
    </row>
    <row r="281" spans="1:3" x14ac:dyDescent="0.2">
      <c r="A281" s="21" t="s">
        <v>320</v>
      </c>
      <c r="B281" s="74" t="s">
        <v>321</v>
      </c>
    </row>
    <row r="282" spans="1:3" x14ac:dyDescent="0.2">
      <c r="A282" s="21" t="s">
        <v>322</v>
      </c>
      <c r="B282" s="74" t="s">
        <v>323</v>
      </c>
    </row>
    <row r="283" spans="1:3" x14ac:dyDescent="0.2">
      <c r="A283" s="21" t="s">
        <v>324</v>
      </c>
    </row>
    <row r="284" spans="1:3" x14ac:dyDescent="0.2">
      <c r="A284" s="21" t="s">
        <v>325</v>
      </c>
    </row>
    <row r="285" spans="1:3" x14ac:dyDescent="0.2">
      <c r="A285" s="21" t="s">
        <v>326</v>
      </c>
    </row>
    <row r="286" spans="1:3" x14ac:dyDescent="0.2">
      <c r="A286" s="21" t="s">
        <v>327</v>
      </c>
    </row>
    <row r="287" spans="1:3" ht="16" customHeight="1" x14ac:dyDescent="0.2">
      <c r="A287" s="21" t="s">
        <v>328</v>
      </c>
      <c r="C287" s="80"/>
    </row>
    <row r="288" spans="1:3" x14ac:dyDescent="0.2">
      <c r="A288" s="21" t="s">
        <v>329</v>
      </c>
    </row>
    <row r="289" spans="1:3" ht="16" customHeight="1" x14ac:dyDescent="0.2">
      <c r="A289" s="21" t="s">
        <v>330</v>
      </c>
      <c r="B289" s="22"/>
      <c r="C289" s="80"/>
    </row>
    <row r="290" spans="1:3" x14ac:dyDescent="0.2">
      <c r="A290" s="21" t="s">
        <v>331</v>
      </c>
      <c r="B290" s="22"/>
    </row>
    <row r="291" spans="1:3" ht="16" customHeight="1" x14ac:dyDescent="0.2">
      <c r="A291" s="21" t="s">
        <v>332</v>
      </c>
      <c r="B291" s="22"/>
      <c r="C291" s="79"/>
    </row>
    <row r="292" spans="1:3" x14ac:dyDescent="0.2">
      <c r="A292" s="21" t="s">
        <v>333</v>
      </c>
    </row>
    <row r="293" spans="1:3" x14ac:dyDescent="0.2">
      <c r="A293" s="21" t="s">
        <v>334</v>
      </c>
    </row>
    <row r="294" spans="1:3" x14ac:dyDescent="0.2">
      <c r="A294" s="21" t="s">
        <v>335</v>
      </c>
    </row>
    <row r="295" spans="1:3" x14ac:dyDescent="0.2">
      <c r="A295" s="21" t="s">
        <v>336</v>
      </c>
    </row>
    <row r="296" spans="1:3" x14ac:dyDescent="0.2">
      <c r="A296" s="21" t="s">
        <v>337</v>
      </c>
    </row>
    <row r="297" spans="1:3" x14ac:dyDescent="0.2">
      <c r="A297" s="21" t="s">
        <v>338</v>
      </c>
      <c r="B297" s="74" t="s">
        <v>339</v>
      </c>
    </row>
    <row r="298" spans="1:3" x14ac:dyDescent="0.2">
      <c r="A298" s="21" t="s">
        <v>340</v>
      </c>
      <c r="B298" s="74" t="s">
        <v>341</v>
      </c>
    </row>
    <row r="299" spans="1:3" x14ac:dyDescent="0.2">
      <c r="A299" s="21" t="s">
        <v>342</v>
      </c>
    </row>
    <row r="300" spans="1:3" x14ac:dyDescent="0.2">
      <c r="A300" s="21" t="s">
        <v>343</v>
      </c>
    </row>
    <row r="301" spans="1:3" x14ac:dyDescent="0.2">
      <c r="A301" s="21" t="s">
        <v>344</v>
      </c>
    </row>
    <row r="302" spans="1:3" x14ac:dyDescent="0.2">
      <c r="A302" s="21" t="s">
        <v>345</v>
      </c>
    </row>
    <row r="303" spans="1:3" ht="16" customHeight="1" x14ac:dyDescent="0.2">
      <c r="A303" s="21" t="s">
        <v>346</v>
      </c>
      <c r="B303" s="22"/>
      <c r="C303" s="80"/>
    </row>
    <row r="304" spans="1:3" x14ac:dyDescent="0.2">
      <c r="A304" s="21" t="s">
        <v>347</v>
      </c>
      <c r="B304" s="22"/>
    </row>
    <row r="305" spans="1:3" ht="16" customHeight="1" x14ac:dyDescent="0.2">
      <c r="A305" s="21" t="s">
        <v>348</v>
      </c>
      <c r="B305" s="22"/>
      <c r="C305" s="80"/>
    </row>
    <row r="306" spans="1:3" x14ac:dyDescent="0.2">
      <c r="A306" s="21" t="s">
        <v>349</v>
      </c>
      <c r="B306" s="22"/>
    </row>
    <row r="307" spans="1:3" ht="16" customHeight="1" x14ac:dyDescent="0.2">
      <c r="A307" s="21" t="s">
        <v>350</v>
      </c>
      <c r="C307" s="79"/>
    </row>
    <row r="308" spans="1:3" x14ac:dyDescent="0.2">
      <c r="A308" s="21" t="s">
        <v>351</v>
      </c>
    </row>
    <row r="309" spans="1:3" x14ac:dyDescent="0.2">
      <c r="A309" s="21" t="s">
        <v>352</v>
      </c>
    </row>
    <row r="310" spans="1:3" x14ac:dyDescent="0.2">
      <c r="A310" s="21" t="s">
        <v>353</v>
      </c>
    </row>
    <row r="311" spans="1:3" x14ac:dyDescent="0.2">
      <c r="A311" s="21" t="s">
        <v>354</v>
      </c>
    </row>
    <row r="312" spans="1:3" x14ac:dyDescent="0.2">
      <c r="A312" s="21" t="s">
        <v>355</v>
      </c>
    </row>
    <row r="313" spans="1:3" x14ac:dyDescent="0.2">
      <c r="A313" s="21" t="s">
        <v>356</v>
      </c>
      <c r="B313" s="74" t="s">
        <v>357</v>
      </c>
    </row>
    <row r="314" spans="1:3" x14ac:dyDescent="0.2">
      <c r="A314" s="21" t="s">
        <v>358</v>
      </c>
      <c r="B314" s="74" t="s">
        <v>359</v>
      </c>
    </row>
    <row r="315" spans="1:3" x14ac:dyDescent="0.2">
      <c r="A315" s="21" t="s">
        <v>360</v>
      </c>
    </row>
    <row r="316" spans="1:3" x14ac:dyDescent="0.2">
      <c r="A316" s="21" t="s">
        <v>361</v>
      </c>
    </row>
    <row r="317" spans="1:3" x14ac:dyDescent="0.2">
      <c r="A317" s="21" t="s">
        <v>362</v>
      </c>
    </row>
    <row r="318" spans="1:3" x14ac:dyDescent="0.2">
      <c r="A318" s="21" t="s">
        <v>363</v>
      </c>
    </row>
    <row r="319" spans="1:3" ht="16" customHeight="1" x14ac:dyDescent="0.2">
      <c r="A319" s="21" t="s">
        <v>364</v>
      </c>
      <c r="B319" s="22"/>
      <c r="C319" s="80"/>
    </row>
    <row r="320" spans="1:3" x14ac:dyDescent="0.2">
      <c r="A320" s="21" t="s">
        <v>365</v>
      </c>
      <c r="B320" s="22"/>
    </row>
    <row r="321" spans="1:3" ht="16" customHeight="1" x14ac:dyDescent="0.2">
      <c r="A321" s="21" t="s">
        <v>366</v>
      </c>
      <c r="C321" s="80"/>
    </row>
    <row r="322" spans="1:3" x14ac:dyDescent="0.2">
      <c r="A322" s="21" t="s">
        <v>367</v>
      </c>
    </row>
    <row r="323" spans="1:3" ht="16" customHeight="1" x14ac:dyDescent="0.2">
      <c r="A323" s="21" t="s">
        <v>368</v>
      </c>
      <c r="C323" s="79"/>
    </row>
    <row r="324" spans="1:3" x14ac:dyDescent="0.2">
      <c r="A324" s="21" t="s">
        <v>369</v>
      </c>
    </row>
    <row r="325" spans="1:3" x14ac:dyDescent="0.2">
      <c r="A325" s="21" t="s">
        <v>370</v>
      </c>
    </row>
    <row r="326" spans="1:3" x14ac:dyDescent="0.2">
      <c r="A326" s="21" t="s">
        <v>371</v>
      </c>
    </row>
    <row r="327" spans="1:3" x14ac:dyDescent="0.2">
      <c r="A327" s="21" t="s">
        <v>372</v>
      </c>
    </row>
    <row r="328" spans="1:3" x14ac:dyDescent="0.2">
      <c r="A328" s="21" t="s">
        <v>373</v>
      </c>
    </row>
    <row r="329" spans="1:3" x14ac:dyDescent="0.2">
      <c r="A329" s="21" t="s">
        <v>374</v>
      </c>
      <c r="B329" s="74" t="s">
        <v>375</v>
      </c>
    </row>
    <row r="330" spans="1:3" x14ac:dyDescent="0.2">
      <c r="A330" s="21" t="s">
        <v>376</v>
      </c>
      <c r="B330" s="74" t="s">
        <v>377</v>
      </c>
    </row>
    <row r="331" spans="1:3" x14ac:dyDescent="0.2">
      <c r="A331" s="21" t="s">
        <v>378</v>
      </c>
    </row>
    <row r="332" spans="1:3" x14ac:dyDescent="0.2">
      <c r="A332" s="21" t="s">
        <v>379</v>
      </c>
    </row>
    <row r="333" spans="1:3" x14ac:dyDescent="0.2">
      <c r="A333" s="21" t="s">
        <v>380</v>
      </c>
    </row>
    <row r="334" spans="1:3" x14ac:dyDescent="0.2">
      <c r="A334" s="21" t="s">
        <v>381</v>
      </c>
    </row>
    <row r="335" spans="1:3" ht="16" customHeight="1" x14ac:dyDescent="0.2">
      <c r="A335" s="21" t="s">
        <v>382</v>
      </c>
      <c r="B335" s="22"/>
      <c r="C335" s="80"/>
    </row>
    <row r="336" spans="1:3" ht="16" customHeight="1" x14ac:dyDescent="0.2">
      <c r="A336" s="21" t="s">
        <v>383</v>
      </c>
      <c r="B336" s="22"/>
      <c r="C336" s="79"/>
    </row>
    <row r="337" spans="1:3" ht="16" customHeight="1" x14ac:dyDescent="0.2">
      <c r="A337" s="21" t="s">
        <v>384</v>
      </c>
      <c r="C337" s="80"/>
    </row>
    <row r="338" spans="1:3" ht="16" customHeight="1" x14ac:dyDescent="0.2">
      <c r="A338" s="21" t="s">
        <v>385</v>
      </c>
      <c r="C338" s="79"/>
    </row>
    <row r="339" spans="1:3" x14ac:dyDescent="0.2">
      <c r="A339" s="21" t="s">
        <v>386</v>
      </c>
    </row>
    <row r="340" spans="1:3" x14ac:dyDescent="0.2">
      <c r="A340" s="21" t="s">
        <v>387</v>
      </c>
    </row>
    <row r="341" spans="1:3" x14ac:dyDescent="0.2">
      <c r="A341" s="21" t="s">
        <v>388</v>
      </c>
    </row>
    <row r="342" spans="1:3" x14ac:dyDescent="0.2">
      <c r="A342" s="21" t="s">
        <v>389</v>
      </c>
    </row>
    <row r="343" spans="1:3" x14ac:dyDescent="0.2">
      <c r="A343" s="21" t="s">
        <v>390</v>
      </c>
    </row>
    <row r="344" spans="1:3" x14ac:dyDescent="0.2">
      <c r="A344" s="21" t="s">
        <v>391</v>
      </c>
    </row>
    <row r="345" spans="1:3" x14ac:dyDescent="0.2">
      <c r="A345" s="21" t="s">
        <v>392</v>
      </c>
      <c r="B345" s="74" t="s">
        <v>393</v>
      </c>
    </row>
    <row r="346" spans="1:3" x14ac:dyDescent="0.2">
      <c r="A346" s="21" t="s">
        <v>394</v>
      </c>
      <c r="B346" s="74" t="s">
        <v>395</v>
      </c>
    </row>
    <row r="347" spans="1:3" x14ac:dyDescent="0.2">
      <c r="A347" s="21" t="s">
        <v>396</v>
      </c>
      <c r="B347" s="22"/>
    </row>
    <row r="348" spans="1:3" x14ac:dyDescent="0.2">
      <c r="A348" s="21" t="s">
        <v>397</v>
      </c>
      <c r="B348" s="22"/>
    </row>
    <row r="349" spans="1:3" x14ac:dyDescent="0.2">
      <c r="A349" s="21" t="s">
        <v>398</v>
      </c>
      <c r="B349" s="22"/>
    </row>
    <row r="350" spans="1:3" x14ac:dyDescent="0.2">
      <c r="A350" s="21" t="s">
        <v>399</v>
      </c>
      <c r="B350" s="22"/>
    </row>
    <row r="351" spans="1:3" ht="16" customHeight="1" x14ac:dyDescent="0.2">
      <c r="A351" s="21" t="s">
        <v>400</v>
      </c>
      <c r="B351" s="22"/>
      <c r="C351" s="80"/>
    </row>
    <row r="352" spans="1:3" ht="16" customHeight="1" x14ac:dyDescent="0.2">
      <c r="A352" s="21" t="s">
        <v>401</v>
      </c>
      <c r="B352" s="22"/>
      <c r="C352" s="79"/>
    </row>
    <row r="353" spans="1:3" ht="16" customHeight="1" x14ac:dyDescent="0.2">
      <c r="A353" s="21" t="s">
        <v>402</v>
      </c>
      <c r="B353" s="22"/>
      <c r="C353" s="80"/>
    </row>
    <row r="354" spans="1:3" ht="16" customHeight="1" x14ac:dyDescent="0.2">
      <c r="A354" s="21" t="s">
        <v>403</v>
      </c>
      <c r="B354" s="22"/>
      <c r="C354" s="79"/>
    </row>
    <row r="355" spans="1:3" x14ac:dyDescent="0.2">
      <c r="A355" s="21" t="s">
        <v>404</v>
      </c>
      <c r="B355" s="22"/>
    </row>
    <row r="356" spans="1:3" x14ac:dyDescent="0.2">
      <c r="A356" s="21" t="s">
        <v>405</v>
      </c>
      <c r="B356" s="22"/>
    </row>
    <row r="357" spans="1:3" x14ac:dyDescent="0.2">
      <c r="A357" s="21" t="s">
        <v>406</v>
      </c>
      <c r="B357" s="22"/>
    </row>
    <row r="358" spans="1:3" x14ac:dyDescent="0.2">
      <c r="A358" s="21" t="s">
        <v>407</v>
      </c>
      <c r="B358" s="22"/>
    </row>
    <row r="359" spans="1:3" x14ac:dyDescent="0.2">
      <c r="A359" s="21" t="s">
        <v>408</v>
      </c>
      <c r="B359" s="22"/>
    </row>
    <row r="360" spans="1:3" x14ac:dyDescent="0.2">
      <c r="A360" s="21" t="s">
        <v>409</v>
      </c>
      <c r="B360" s="22"/>
    </row>
    <row r="361" spans="1:3" x14ac:dyDescent="0.2">
      <c r="A361" s="21" t="s">
        <v>410</v>
      </c>
      <c r="B361" s="22" t="s">
        <v>411</v>
      </c>
    </row>
    <row r="362" spans="1:3" x14ac:dyDescent="0.2">
      <c r="A362" s="21" t="s">
        <v>412</v>
      </c>
      <c r="B362" s="22" t="s">
        <v>413</v>
      </c>
    </row>
    <row r="363" spans="1:3" x14ac:dyDescent="0.2">
      <c r="A363" s="21" t="s">
        <v>414</v>
      </c>
      <c r="B363" s="22"/>
    </row>
    <row r="364" spans="1:3" x14ac:dyDescent="0.2">
      <c r="A364" s="21" t="s">
        <v>415</v>
      </c>
      <c r="B364" s="22"/>
    </row>
    <row r="365" spans="1:3" x14ac:dyDescent="0.2">
      <c r="A365" s="21" t="s">
        <v>416</v>
      </c>
      <c r="B365" s="22"/>
    </row>
    <row r="366" spans="1:3" x14ac:dyDescent="0.2">
      <c r="A366" s="21" t="s">
        <v>417</v>
      </c>
      <c r="B366" s="22"/>
    </row>
    <row r="367" spans="1:3" ht="16" customHeight="1" x14ac:dyDescent="0.2">
      <c r="A367" s="21" t="s">
        <v>418</v>
      </c>
      <c r="B367" s="22"/>
      <c r="C367" s="80"/>
    </row>
    <row r="368" spans="1:3" ht="16" customHeight="1" x14ac:dyDescent="0.2">
      <c r="A368" s="21" t="s">
        <v>419</v>
      </c>
      <c r="B368" s="22"/>
      <c r="C368" s="79"/>
    </row>
    <row r="369" spans="1:4" x14ac:dyDescent="0.2">
      <c r="A369" s="21" t="s">
        <v>420</v>
      </c>
      <c r="B369" s="22"/>
    </row>
    <row r="370" spans="1:4" ht="19" customHeight="1" x14ac:dyDescent="0.2">
      <c r="A370" s="21" t="s">
        <v>421</v>
      </c>
      <c r="C370" s="79"/>
      <c r="D370" s="82"/>
    </row>
    <row r="371" spans="1:4" x14ac:dyDescent="0.2">
      <c r="A371" s="21" t="s">
        <v>422</v>
      </c>
      <c r="C371" s="81"/>
      <c r="D371" s="81"/>
    </row>
    <row r="372" spans="1:4" x14ac:dyDescent="0.2">
      <c r="A372" s="21" t="s">
        <v>423</v>
      </c>
    </row>
    <row r="373" spans="1:4" x14ac:dyDescent="0.2">
      <c r="A373" s="21" t="s">
        <v>424</v>
      </c>
    </row>
    <row r="374" spans="1:4" x14ac:dyDescent="0.2">
      <c r="A374" s="21" t="s">
        <v>425</v>
      </c>
    </row>
    <row r="375" spans="1:4" x14ac:dyDescent="0.2">
      <c r="A375" s="21" t="s">
        <v>426</v>
      </c>
    </row>
    <row r="376" spans="1:4" x14ac:dyDescent="0.2">
      <c r="A376" s="21" t="s">
        <v>427</v>
      </c>
    </row>
    <row r="377" spans="1:4" x14ac:dyDescent="0.2">
      <c r="A377" s="21" t="s">
        <v>428</v>
      </c>
    </row>
    <row r="378" spans="1:4" x14ac:dyDescent="0.2">
      <c r="A378" s="21" t="s">
        <v>429</v>
      </c>
    </row>
    <row r="379" spans="1:4" x14ac:dyDescent="0.2">
      <c r="A379" s="21" t="s">
        <v>430</v>
      </c>
    </row>
    <row r="380" spans="1:4" x14ac:dyDescent="0.2">
      <c r="A380" s="21" t="s">
        <v>431</v>
      </c>
    </row>
    <row r="381" spans="1:4" x14ac:dyDescent="0.2">
      <c r="A381" s="21" t="s">
        <v>432</v>
      </c>
      <c r="B381" s="74" t="s">
        <v>433</v>
      </c>
    </row>
    <row r="382" spans="1:4" x14ac:dyDescent="0.2">
      <c r="A382" s="21" t="s">
        <v>434</v>
      </c>
      <c r="B382" s="74" t="s">
        <v>435</v>
      </c>
    </row>
    <row r="383" spans="1:4" x14ac:dyDescent="0.2">
      <c r="A383" s="21" t="s">
        <v>436</v>
      </c>
    </row>
    <row r="384" spans="1:4" ht="16" customHeight="1" x14ac:dyDescent="0.2">
      <c r="A384" s="21" t="s">
        <v>437</v>
      </c>
      <c r="B384" s="22"/>
      <c r="C384" s="79"/>
    </row>
    <row r="385" spans="1:4" x14ac:dyDescent="0.2">
      <c r="A385" s="21" t="s">
        <v>438</v>
      </c>
      <c r="B385" s="22"/>
    </row>
    <row r="386" spans="1:4" ht="16" customHeight="1" x14ac:dyDescent="0.2">
      <c r="A386" s="21" t="s">
        <v>439</v>
      </c>
      <c r="C386" s="79"/>
      <c r="D386" s="82"/>
    </row>
    <row r="387" spans="1:4" x14ac:dyDescent="0.2">
      <c r="A387" s="21" t="s">
        <v>440</v>
      </c>
    </row>
    <row r="388" spans="1:4" x14ac:dyDescent="0.2">
      <c r="A388" s="21" t="s">
        <v>441</v>
      </c>
    </row>
    <row r="389" spans="1:4" x14ac:dyDescent="0.2">
      <c r="A389" s="21" t="s">
        <v>442</v>
      </c>
    </row>
    <row r="390" spans="1:4" x14ac:dyDescent="0.2">
      <c r="A390" s="21" t="s">
        <v>443</v>
      </c>
    </row>
    <row r="391" spans="1:4" x14ac:dyDescent="0.2">
      <c r="A391" s="21" t="s">
        <v>444</v>
      </c>
    </row>
    <row r="392" spans="1:4" x14ac:dyDescent="0.2">
      <c r="A392" s="21" t="s">
        <v>445</v>
      </c>
    </row>
    <row r="393" spans="1:4" x14ac:dyDescent="0.2">
      <c r="A393" s="21" t="s">
        <v>446</v>
      </c>
    </row>
    <row r="394" spans="1:4" x14ac:dyDescent="0.2">
      <c r="A394" s="21" t="s">
        <v>447</v>
      </c>
    </row>
    <row r="395" spans="1:4" x14ac:dyDescent="0.2">
      <c r="A395" s="21" t="s">
        <v>448</v>
      </c>
    </row>
    <row r="396" spans="1:4" x14ac:dyDescent="0.2">
      <c r="A396" s="21" t="s">
        <v>449</v>
      </c>
    </row>
    <row r="397" spans="1:4" x14ac:dyDescent="0.2">
      <c r="A397" s="21" t="s">
        <v>450</v>
      </c>
      <c r="B397" s="74" t="s">
        <v>451</v>
      </c>
    </row>
    <row r="398" spans="1:4" x14ac:dyDescent="0.2">
      <c r="A398" s="21" t="s">
        <v>452</v>
      </c>
      <c r="B398" s="74" t="s">
        <v>453</v>
      </c>
    </row>
    <row r="399" spans="1:4" x14ac:dyDescent="0.2">
      <c r="A399" s="21" t="s">
        <v>454</v>
      </c>
    </row>
    <row r="400" spans="1:4" ht="16" customHeight="1" x14ac:dyDescent="0.2">
      <c r="A400" s="21" t="s">
        <v>455</v>
      </c>
      <c r="B400" s="22"/>
      <c r="C400" s="79"/>
    </row>
    <row r="401" spans="1:4" x14ac:dyDescent="0.2">
      <c r="A401" s="21" t="s">
        <v>456</v>
      </c>
      <c r="B401" s="22"/>
    </row>
    <row r="402" spans="1:4" ht="16" customHeight="1" x14ac:dyDescent="0.2">
      <c r="A402" s="21" t="s">
        <v>457</v>
      </c>
      <c r="C402" s="79"/>
      <c r="D402" s="82"/>
    </row>
    <row r="403" spans="1:4" x14ac:dyDescent="0.2">
      <c r="A403" s="21" t="s">
        <v>458</v>
      </c>
    </row>
    <row r="404" spans="1:4" x14ac:dyDescent="0.2">
      <c r="A404" s="21" t="s">
        <v>459</v>
      </c>
    </row>
    <row r="405" spans="1:4" x14ac:dyDescent="0.2">
      <c r="A405" s="21" t="s">
        <v>460</v>
      </c>
    </row>
    <row r="406" spans="1:4" x14ac:dyDescent="0.2">
      <c r="A406" s="21" t="s">
        <v>461</v>
      </c>
    </row>
    <row r="407" spans="1:4" x14ac:dyDescent="0.2">
      <c r="A407" s="21" t="s">
        <v>462</v>
      </c>
    </row>
    <row r="408" spans="1:4" x14ac:dyDescent="0.2">
      <c r="A408" s="21" t="s">
        <v>463</v>
      </c>
    </row>
    <row r="409" spans="1:4" x14ac:dyDescent="0.2">
      <c r="A409" s="21" t="s">
        <v>464</v>
      </c>
    </row>
    <row r="410" spans="1:4" x14ac:dyDescent="0.2">
      <c r="A410" s="21" t="s">
        <v>465</v>
      </c>
    </row>
    <row r="411" spans="1:4" x14ac:dyDescent="0.2">
      <c r="A411" s="21" t="s">
        <v>466</v>
      </c>
    </row>
    <row r="412" spans="1:4" x14ac:dyDescent="0.2">
      <c r="A412" s="21" t="s">
        <v>467</v>
      </c>
      <c r="B412" s="22"/>
    </row>
    <row r="413" spans="1:4" x14ac:dyDescent="0.2">
      <c r="A413" s="21" t="s">
        <v>468</v>
      </c>
      <c r="B413" s="22" t="s">
        <v>469</v>
      </c>
    </row>
    <row r="414" spans="1:4" x14ac:dyDescent="0.2">
      <c r="A414" s="21" t="s">
        <v>470</v>
      </c>
      <c r="B414" s="22" t="s">
        <v>471</v>
      </c>
    </row>
    <row r="415" spans="1:4" x14ac:dyDescent="0.2">
      <c r="A415" s="21" t="s">
        <v>472</v>
      </c>
      <c r="B415" s="22"/>
    </row>
    <row r="416" spans="1:4" ht="16" customHeight="1" x14ac:dyDescent="0.2">
      <c r="A416" s="21" t="s">
        <v>473</v>
      </c>
      <c r="B416" s="22"/>
      <c r="C416" s="79"/>
    </row>
    <row r="417" spans="1:3" x14ac:dyDescent="0.2">
      <c r="A417" s="21" t="s">
        <v>474</v>
      </c>
      <c r="B417" s="22"/>
    </row>
    <row r="418" spans="1:3" ht="16" customHeight="1" x14ac:dyDescent="0.2">
      <c r="A418" s="21" t="s">
        <v>475</v>
      </c>
      <c r="B418" s="22"/>
      <c r="C418" s="79"/>
    </row>
    <row r="419" spans="1:3" x14ac:dyDescent="0.2">
      <c r="A419" s="21" t="s">
        <v>476</v>
      </c>
      <c r="B419" s="22"/>
    </row>
    <row r="420" spans="1:3" x14ac:dyDescent="0.2">
      <c r="A420" s="21" t="s">
        <v>477</v>
      </c>
      <c r="B420" s="22"/>
    </row>
    <row r="421" spans="1:3" x14ac:dyDescent="0.2">
      <c r="A421" s="21" t="s">
        <v>478</v>
      </c>
      <c r="B421" s="22"/>
    </row>
    <row r="422" spans="1:3" x14ac:dyDescent="0.2">
      <c r="A422" s="21" t="s">
        <v>479</v>
      </c>
      <c r="B422" s="22"/>
    </row>
    <row r="423" spans="1:3" x14ac:dyDescent="0.2">
      <c r="A423" s="21" t="s">
        <v>480</v>
      </c>
      <c r="B423" s="22"/>
    </row>
    <row r="424" spans="1:3" x14ac:dyDescent="0.2">
      <c r="A424" s="21" t="s">
        <v>481</v>
      </c>
      <c r="B424" s="22"/>
    </row>
    <row r="425" spans="1:3" x14ac:dyDescent="0.2">
      <c r="A425" s="21" t="s">
        <v>482</v>
      </c>
      <c r="B425" s="22"/>
    </row>
    <row r="426" spans="1:3" x14ac:dyDescent="0.2">
      <c r="A426" s="21" t="s">
        <v>483</v>
      </c>
      <c r="B426" s="22"/>
    </row>
    <row r="427" spans="1:3" x14ac:dyDescent="0.2">
      <c r="A427" s="21" t="s">
        <v>484</v>
      </c>
      <c r="B427" s="22"/>
    </row>
    <row r="428" spans="1:3" x14ac:dyDescent="0.2">
      <c r="A428" s="21" t="s">
        <v>485</v>
      </c>
      <c r="B428" s="22"/>
    </row>
    <row r="429" spans="1:3" x14ac:dyDescent="0.2">
      <c r="A429" s="21" t="s">
        <v>486</v>
      </c>
      <c r="B429" s="22" t="s">
        <v>487</v>
      </c>
    </row>
    <row r="430" spans="1:3" x14ac:dyDescent="0.2">
      <c r="A430" s="21" t="s">
        <v>488</v>
      </c>
      <c r="B430" s="22" t="s">
        <v>489</v>
      </c>
    </row>
    <row r="431" spans="1:3" x14ac:dyDescent="0.2">
      <c r="A431" s="21" t="s">
        <v>490</v>
      </c>
      <c r="B431" s="22"/>
    </row>
    <row r="432" spans="1:3" ht="16" customHeight="1" x14ac:dyDescent="0.2">
      <c r="A432" s="21" t="s">
        <v>491</v>
      </c>
      <c r="B432" s="22"/>
      <c r="C432" s="79"/>
    </row>
    <row r="433" spans="1:2" x14ac:dyDescent="0.2">
      <c r="A433" s="21" t="s">
        <v>492</v>
      </c>
      <c r="B433" s="22"/>
    </row>
    <row r="434" spans="1:2" x14ac:dyDescent="0.2">
      <c r="A434" s="21" t="s">
        <v>493</v>
      </c>
    </row>
    <row r="435" spans="1:2" x14ac:dyDescent="0.2">
      <c r="A435" s="21" t="s">
        <v>494</v>
      </c>
    </row>
    <row r="436" spans="1:2" x14ac:dyDescent="0.2">
      <c r="A436" s="21" t="s">
        <v>495</v>
      </c>
    </row>
    <row r="437" spans="1:2" x14ac:dyDescent="0.2">
      <c r="A437" s="21" t="s">
        <v>496</v>
      </c>
    </row>
    <row r="438" spans="1:2" x14ac:dyDescent="0.2">
      <c r="A438" s="21" t="s">
        <v>497</v>
      </c>
    </row>
    <row r="439" spans="1:2" x14ac:dyDescent="0.2">
      <c r="A439" s="21" t="s">
        <v>498</v>
      </c>
    </row>
    <row r="440" spans="1:2" x14ac:dyDescent="0.2">
      <c r="A440" s="21" t="s">
        <v>499</v>
      </c>
    </row>
    <row r="441" spans="1:2" x14ac:dyDescent="0.2">
      <c r="A441" s="21" t="s">
        <v>500</v>
      </c>
    </row>
    <row r="442" spans="1:2" x14ac:dyDescent="0.2">
      <c r="A442" s="21" t="s">
        <v>501</v>
      </c>
    </row>
    <row r="443" spans="1:2" x14ac:dyDescent="0.2">
      <c r="A443" s="21" t="s">
        <v>502</v>
      </c>
    </row>
    <row r="444" spans="1:2" x14ac:dyDescent="0.2">
      <c r="A444" s="21" t="s">
        <v>503</v>
      </c>
    </row>
    <row r="445" spans="1:2" x14ac:dyDescent="0.2">
      <c r="A445" s="21" t="s">
        <v>504</v>
      </c>
      <c r="B445" s="74" t="s">
        <v>505</v>
      </c>
    </row>
    <row r="446" spans="1:2" x14ac:dyDescent="0.2">
      <c r="A446" s="21" t="s">
        <v>506</v>
      </c>
      <c r="B446" s="74" t="s">
        <v>507</v>
      </c>
    </row>
    <row r="447" spans="1:2" x14ac:dyDescent="0.2">
      <c r="A447" s="21" t="s">
        <v>508</v>
      </c>
    </row>
    <row r="448" spans="1:2" x14ac:dyDescent="0.2">
      <c r="A448" s="21" t="s">
        <v>509</v>
      </c>
    </row>
    <row r="449" spans="1:2" x14ac:dyDescent="0.2">
      <c r="A449" s="21" t="s">
        <v>510</v>
      </c>
    </row>
    <row r="450" spans="1:2" x14ac:dyDescent="0.2">
      <c r="A450" s="21" t="s">
        <v>511</v>
      </c>
    </row>
    <row r="451" spans="1:2" x14ac:dyDescent="0.2">
      <c r="A451" s="21" t="s">
        <v>512</v>
      </c>
    </row>
    <row r="452" spans="1:2" x14ac:dyDescent="0.2">
      <c r="A452" s="21" t="s">
        <v>513</v>
      </c>
    </row>
    <row r="453" spans="1:2" x14ac:dyDescent="0.2">
      <c r="A453" s="21" t="s">
        <v>514</v>
      </c>
    </row>
    <row r="454" spans="1:2" x14ac:dyDescent="0.2">
      <c r="A454" s="21" t="s">
        <v>515</v>
      </c>
    </row>
    <row r="455" spans="1:2" x14ac:dyDescent="0.2">
      <c r="A455" s="21" t="s">
        <v>516</v>
      </c>
    </row>
    <row r="456" spans="1:2" x14ac:dyDescent="0.2">
      <c r="A456" s="21" t="s">
        <v>517</v>
      </c>
    </row>
    <row r="457" spans="1:2" x14ac:dyDescent="0.2">
      <c r="A457" s="21" t="s">
        <v>518</v>
      </c>
    </row>
    <row r="458" spans="1:2" x14ac:dyDescent="0.2">
      <c r="A458" s="21" t="s">
        <v>519</v>
      </c>
    </row>
    <row r="459" spans="1:2" x14ac:dyDescent="0.2">
      <c r="A459" s="21" t="s">
        <v>520</v>
      </c>
    </row>
    <row r="460" spans="1:2" x14ac:dyDescent="0.2">
      <c r="A460" s="21" t="s">
        <v>521</v>
      </c>
    </row>
    <row r="461" spans="1:2" x14ac:dyDescent="0.2">
      <c r="A461" s="21" t="s">
        <v>522</v>
      </c>
      <c r="B461" s="74" t="s">
        <v>523</v>
      </c>
    </row>
    <row r="462" spans="1:2" x14ac:dyDescent="0.2">
      <c r="A462" s="21" t="s">
        <v>524</v>
      </c>
      <c r="B462" s="74" t="s">
        <v>525</v>
      </c>
    </row>
    <row r="463" spans="1:2" x14ac:dyDescent="0.2">
      <c r="A463" s="21" t="s">
        <v>526</v>
      </c>
    </row>
    <row r="464" spans="1:2" x14ac:dyDescent="0.2">
      <c r="A464" s="21" t="s">
        <v>527</v>
      </c>
    </row>
    <row r="465" spans="1:1" x14ac:dyDescent="0.2">
      <c r="A465" s="21" t="s">
        <v>528</v>
      </c>
    </row>
    <row r="466" spans="1:1" x14ac:dyDescent="0.2">
      <c r="A466" s="21" t="s">
        <v>529</v>
      </c>
    </row>
    <row r="467" spans="1:1" x14ac:dyDescent="0.2">
      <c r="A467" s="21" t="s">
        <v>530</v>
      </c>
    </row>
    <row r="468" spans="1:1" x14ac:dyDescent="0.2">
      <c r="A468" s="21" t="s">
        <v>531</v>
      </c>
    </row>
    <row r="469" spans="1:1" x14ac:dyDescent="0.2">
      <c r="A469" s="21" t="s">
        <v>532</v>
      </c>
    </row>
    <row r="470" spans="1:1" x14ac:dyDescent="0.2">
      <c r="A470" s="21" t="s">
        <v>533</v>
      </c>
    </row>
    <row r="471" spans="1:1" x14ac:dyDescent="0.2">
      <c r="A471" s="21" t="s">
        <v>534</v>
      </c>
    </row>
    <row r="472" spans="1:1" x14ac:dyDescent="0.2">
      <c r="A472" s="21" t="s">
        <v>535</v>
      </c>
    </row>
    <row r="473" spans="1:1" x14ac:dyDescent="0.2">
      <c r="A473" s="21" t="s">
        <v>536</v>
      </c>
    </row>
    <row r="474" spans="1:1" x14ac:dyDescent="0.2">
      <c r="A474" s="21" t="s">
        <v>537</v>
      </c>
    </row>
    <row r="475" spans="1:1" x14ac:dyDescent="0.2">
      <c r="A475" s="21" t="s">
        <v>538</v>
      </c>
    </row>
    <row r="476" spans="1:1" x14ac:dyDescent="0.2">
      <c r="A476" s="21" t="s">
        <v>539</v>
      </c>
    </row>
    <row r="477" spans="1:1" x14ac:dyDescent="0.2">
      <c r="A477" s="21" t="s">
        <v>540</v>
      </c>
    </row>
    <row r="478" spans="1:1" x14ac:dyDescent="0.2">
      <c r="A478" s="21" t="s">
        <v>541</v>
      </c>
    </row>
    <row r="479" spans="1:1" x14ac:dyDescent="0.2">
      <c r="A479" s="21" t="s">
        <v>542</v>
      </c>
    </row>
    <row r="480" spans="1:1" x14ac:dyDescent="0.2">
      <c r="A480" s="21" t="s">
        <v>543</v>
      </c>
    </row>
    <row r="481" spans="1:2" x14ac:dyDescent="0.2">
      <c r="A481" s="21" t="s">
        <v>544</v>
      </c>
      <c r="B481" s="74" t="s">
        <v>545</v>
      </c>
    </row>
    <row r="482" spans="1:2" x14ac:dyDescent="0.2">
      <c r="A482" s="21" t="s">
        <v>546</v>
      </c>
      <c r="B482" s="74" t="s">
        <v>547</v>
      </c>
    </row>
    <row r="483" spans="1:2" x14ac:dyDescent="0.2">
      <c r="A483" s="21" t="s">
        <v>548</v>
      </c>
    </row>
    <row r="484" spans="1:2" x14ac:dyDescent="0.2">
      <c r="A484" s="21" t="s">
        <v>549</v>
      </c>
    </row>
    <row r="485" spans="1:2" x14ac:dyDescent="0.2">
      <c r="A485" s="21" t="s">
        <v>550</v>
      </c>
    </row>
    <row r="486" spans="1:2" x14ac:dyDescent="0.2">
      <c r="A486" s="21" t="s">
        <v>551</v>
      </c>
    </row>
    <row r="487" spans="1:2" x14ac:dyDescent="0.2">
      <c r="A487" s="21" t="s">
        <v>552</v>
      </c>
    </row>
    <row r="488" spans="1:2" x14ac:dyDescent="0.2">
      <c r="A488" s="21" t="s">
        <v>553</v>
      </c>
    </row>
    <row r="489" spans="1:2" x14ac:dyDescent="0.2">
      <c r="A489" s="21" t="s">
        <v>554</v>
      </c>
    </row>
    <row r="490" spans="1:2" x14ac:dyDescent="0.2">
      <c r="A490" s="21" t="s">
        <v>555</v>
      </c>
    </row>
    <row r="491" spans="1:2" x14ac:dyDescent="0.2">
      <c r="A491" s="21" t="s">
        <v>556</v>
      </c>
    </row>
    <row r="492" spans="1:2" x14ac:dyDescent="0.2">
      <c r="A492" s="21" t="s">
        <v>557</v>
      </c>
    </row>
    <row r="493" spans="1:2" x14ac:dyDescent="0.2">
      <c r="A493" s="21" t="s">
        <v>558</v>
      </c>
    </row>
    <row r="494" spans="1:2" x14ac:dyDescent="0.2">
      <c r="A494" s="21" t="s">
        <v>559</v>
      </c>
    </row>
    <row r="495" spans="1:2" x14ac:dyDescent="0.2">
      <c r="A495" s="21" t="s">
        <v>560</v>
      </c>
    </row>
    <row r="496" spans="1:2" x14ac:dyDescent="0.2">
      <c r="A496" s="21" t="s">
        <v>561</v>
      </c>
    </row>
    <row r="497" spans="1:2" x14ac:dyDescent="0.2">
      <c r="A497" s="21" t="s">
        <v>562</v>
      </c>
      <c r="B497" s="74" t="s">
        <v>563</v>
      </c>
    </row>
    <row r="498" spans="1:2" x14ac:dyDescent="0.2">
      <c r="A498" s="21" t="s">
        <v>564</v>
      </c>
      <c r="B498" s="74" t="s">
        <v>565</v>
      </c>
    </row>
    <row r="499" spans="1:2" x14ac:dyDescent="0.2">
      <c r="A499" s="21" t="s">
        <v>566</v>
      </c>
    </row>
    <row r="500" spans="1:2" x14ac:dyDescent="0.2">
      <c r="A500" s="21" t="s">
        <v>567</v>
      </c>
    </row>
    <row r="501" spans="1:2" x14ac:dyDescent="0.2">
      <c r="A501" s="21" t="s">
        <v>568</v>
      </c>
    </row>
    <row r="502" spans="1:2" x14ac:dyDescent="0.2">
      <c r="A502" s="21" t="s">
        <v>569</v>
      </c>
    </row>
    <row r="503" spans="1:2" x14ac:dyDescent="0.2">
      <c r="A503" s="21" t="s">
        <v>570</v>
      </c>
    </row>
    <row r="504" spans="1:2" x14ac:dyDescent="0.2">
      <c r="A504" s="21" t="s">
        <v>571</v>
      </c>
    </row>
    <row r="505" spans="1:2" x14ac:dyDescent="0.2">
      <c r="A505" s="21" t="s">
        <v>572</v>
      </c>
    </row>
    <row r="506" spans="1:2" x14ac:dyDescent="0.2">
      <c r="A506" s="21" t="s">
        <v>573</v>
      </c>
    </row>
    <row r="507" spans="1:2" x14ac:dyDescent="0.2">
      <c r="A507" s="21" t="s">
        <v>574</v>
      </c>
    </row>
    <row r="508" spans="1:2" x14ac:dyDescent="0.2">
      <c r="A508" s="21" t="s">
        <v>575</v>
      </c>
    </row>
    <row r="509" spans="1:2" x14ac:dyDescent="0.2">
      <c r="A509" s="21" t="s">
        <v>576</v>
      </c>
    </row>
    <row r="510" spans="1:2" x14ac:dyDescent="0.2">
      <c r="A510" s="21" t="s">
        <v>577</v>
      </c>
    </row>
    <row r="511" spans="1:2" x14ac:dyDescent="0.2">
      <c r="A511" s="21" t="s">
        <v>578</v>
      </c>
    </row>
    <row r="512" spans="1:2" x14ac:dyDescent="0.2">
      <c r="A512" s="21" t="s">
        <v>579</v>
      </c>
    </row>
    <row r="513" spans="1:2" x14ac:dyDescent="0.2">
      <c r="A513" s="21" t="s">
        <v>580</v>
      </c>
      <c r="B513" s="74" t="s">
        <v>581</v>
      </c>
    </row>
    <row r="514" spans="1:2" x14ac:dyDescent="0.2">
      <c r="A514" s="21" t="s">
        <v>582</v>
      </c>
      <c r="B514" s="74" t="s">
        <v>583</v>
      </c>
    </row>
    <row r="515" spans="1:2" x14ac:dyDescent="0.2">
      <c r="A515" s="21" t="s">
        <v>584</v>
      </c>
    </row>
    <row r="516" spans="1:2" x14ac:dyDescent="0.2">
      <c r="A516" s="21" t="s">
        <v>585</v>
      </c>
    </row>
    <row r="517" spans="1:2" x14ac:dyDescent="0.2">
      <c r="A517" s="21" t="s">
        <v>586</v>
      </c>
    </row>
    <row r="518" spans="1:2" x14ac:dyDescent="0.2">
      <c r="A518" s="21" t="s">
        <v>587</v>
      </c>
    </row>
    <row r="519" spans="1:2" x14ac:dyDescent="0.2">
      <c r="A519" s="21" t="s">
        <v>588</v>
      </c>
    </row>
    <row r="520" spans="1:2" x14ac:dyDescent="0.2">
      <c r="A520" s="21" t="s">
        <v>589</v>
      </c>
    </row>
    <row r="521" spans="1:2" x14ac:dyDescent="0.2">
      <c r="A521" s="21" t="s">
        <v>590</v>
      </c>
    </row>
    <row r="522" spans="1:2" x14ac:dyDescent="0.2">
      <c r="A522" s="21" t="s">
        <v>591</v>
      </c>
    </row>
    <row r="523" spans="1:2" x14ac:dyDescent="0.2">
      <c r="A523" s="21" t="s">
        <v>592</v>
      </c>
    </row>
    <row r="524" spans="1:2" x14ac:dyDescent="0.2">
      <c r="A524" s="21" t="s">
        <v>593</v>
      </c>
    </row>
    <row r="525" spans="1:2" x14ac:dyDescent="0.2">
      <c r="A525" s="21" t="s">
        <v>594</v>
      </c>
    </row>
    <row r="526" spans="1:2" x14ac:dyDescent="0.2">
      <c r="A526" s="21" t="s">
        <v>595</v>
      </c>
    </row>
    <row r="527" spans="1:2" x14ac:dyDescent="0.2">
      <c r="A527" s="21" t="s">
        <v>596</v>
      </c>
    </row>
    <row r="528" spans="1:2" x14ac:dyDescent="0.2">
      <c r="A528" s="21" t="s">
        <v>597</v>
      </c>
    </row>
    <row r="529" spans="1:2" x14ac:dyDescent="0.2">
      <c r="A529" s="21" t="s">
        <v>598</v>
      </c>
      <c r="B529" s="74" t="s">
        <v>599</v>
      </c>
    </row>
    <row r="530" spans="1:2" x14ac:dyDescent="0.2">
      <c r="A530" s="21" t="s">
        <v>600</v>
      </c>
      <c r="B530" s="74" t="s">
        <v>601</v>
      </c>
    </row>
    <row r="531" spans="1:2" x14ac:dyDescent="0.2">
      <c r="A531" s="21" t="s">
        <v>602</v>
      </c>
    </row>
    <row r="532" spans="1:2" x14ac:dyDescent="0.2">
      <c r="A532" s="21" t="s">
        <v>603</v>
      </c>
    </row>
    <row r="533" spans="1:2" x14ac:dyDescent="0.2">
      <c r="A533" s="21" t="s">
        <v>604</v>
      </c>
    </row>
    <row r="534" spans="1:2" x14ac:dyDescent="0.2">
      <c r="A534" s="21" t="s">
        <v>605</v>
      </c>
    </row>
    <row r="535" spans="1:2" x14ac:dyDescent="0.2">
      <c r="A535" s="21" t="s">
        <v>606</v>
      </c>
    </row>
    <row r="536" spans="1:2" x14ac:dyDescent="0.2">
      <c r="A536" s="21" t="s">
        <v>607</v>
      </c>
    </row>
    <row r="537" spans="1:2" x14ac:dyDescent="0.2">
      <c r="A537" s="21" t="s">
        <v>608</v>
      </c>
    </row>
    <row r="538" spans="1:2" x14ac:dyDescent="0.2">
      <c r="A538" s="21" t="s">
        <v>609</v>
      </c>
    </row>
    <row r="539" spans="1:2" x14ac:dyDescent="0.2">
      <c r="A539" s="21" t="s">
        <v>610</v>
      </c>
    </row>
    <row r="540" spans="1:2" x14ac:dyDescent="0.2">
      <c r="A540" s="21" t="s">
        <v>611</v>
      </c>
    </row>
    <row r="541" spans="1:2" x14ac:dyDescent="0.2">
      <c r="A541" s="21" t="s">
        <v>612</v>
      </c>
    </row>
    <row r="542" spans="1:2" x14ac:dyDescent="0.2">
      <c r="A542" s="21" t="s">
        <v>613</v>
      </c>
    </row>
    <row r="543" spans="1:2" x14ac:dyDescent="0.2">
      <c r="A543" s="21" t="s">
        <v>614</v>
      </c>
    </row>
    <row r="544" spans="1:2" x14ac:dyDescent="0.2">
      <c r="A544" s="21" t="s">
        <v>615</v>
      </c>
    </row>
    <row r="545" spans="1:2" x14ac:dyDescent="0.2">
      <c r="A545" s="21" t="s">
        <v>616</v>
      </c>
      <c r="B545" s="74" t="s">
        <v>617</v>
      </c>
    </row>
    <row r="546" spans="1:2" x14ac:dyDescent="0.2">
      <c r="A546" s="21" t="s">
        <v>618</v>
      </c>
      <c r="B546" s="74" t="s">
        <v>619</v>
      </c>
    </row>
    <row r="547" spans="1:2" x14ac:dyDescent="0.2">
      <c r="A547" s="21" t="s">
        <v>620</v>
      </c>
    </row>
    <row r="548" spans="1:2" x14ac:dyDescent="0.2">
      <c r="A548" s="21" t="s">
        <v>621</v>
      </c>
    </row>
    <row r="549" spans="1:2" x14ac:dyDescent="0.2">
      <c r="A549" s="21" t="s">
        <v>622</v>
      </c>
    </row>
    <row r="550" spans="1:2" x14ac:dyDescent="0.2">
      <c r="A550" s="21" t="s">
        <v>623</v>
      </c>
    </row>
    <row r="551" spans="1:2" x14ac:dyDescent="0.2">
      <c r="A551" s="21" t="s">
        <v>624</v>
      </c>
    </row>
    <row r="552" spans="1:2" x14ac:dyDescent="0.2">
      <c r="A552" s="21" t="s">
        <v>625</v>
      </c>
    </row>
    <row r="553" spans="1:2" x14ac:dyDescent="0.2">
      <c r="A553" s="21" t="s">
        <v>626</v>
      </c>
    </row>
    <row r="554" spans="1:2" x14ac:dyDescent="0.2">
      <c r="A554" s="21" t="s">
        <v>627</v>
      </c>
    </row>
    <row r="555" spans="1:2" x14ac:dyDescent="0.2">
      <c r="A555" s="21" t="s">
        <v>628</v>
      </c>
    </row>
    <row r="556" spans="1:2" x14ac:dyDescent="0.2">
      <c r="A556" s="21" t="s">
        <v>629</v>
      </c>
    </row>
    <row r="557" spans="1:2" x14ac:dyDescent="0.2">
      <c r="A557" s="21" t="s">
        <v>630</v>
      </c>
    </row>
    <row r="558" spans="1:2" x14ac:dyDescent="0.2">
      <c r="A558" s="21" t="s">
        <v>631</v>
      </c>
    </row>
    <row r="559" spans="1:2" x14ac:dyDescent="0.2">
      <c r="A559" s="21" t="s">
        <v>632</v>
      </c>
    </row>
    <row r="560" spans="1:2" x14ac:dyDescent="0.2">
      <c r="A560" s="21" t="s">
        <v>633</v>
      </c>
    </row>
    <row r="561" spans="1:2" x14ac:dyDescent="0.2">
      <c r="A561" s="21" t="s">
        <v>634</v>
      </c>
      <c r="B561" s="74" t="s">
        <v>635</v>
      </c>
    </row>
    <row r="562" spans="1:2" x14ac:dyDescent="0.2">
      <c r="A562" s="21" t="s">
        <v>636</v>
      </c>
      <c r="B562" s="74" t="s">
        <v>637</v>
      </c>
    </row>
  </sheetData>
  <mergeCells count="3">
    <mergeCell ref="A27:G27"/>
    <mergeCell ref="A65:D65"/>
    <mergeCell ref="A2:B2"/>
  </mergeCells>
  <conditionalFormatting sqref="A67:A562">
    <cfRule type="endsWith" dxfId="15" priority="3" stopIfTrue="1" operator="endsWith" text="15">
      <formula>RIGHT(A67,LEN("15"))="15"</formula>
    </cfRule>
    <cfRule type="endsWith" dxfId="14" priority="4" stopIfTrue="1" operator="endsWith" text="16">
      <formula>RIGHT(A67,LEN("16"))="16"</formula>
    </cfRule>
    <cfRule type="endsWith" dxfId="13" priority="5" stopIfTrue="1" operator="endsWith" text="31">
      <formula>RIGHT(A67,LEN("31"))="31"</formula>
    </cfRule>
    <cfRule type="endsWith" dxfId="12" priority="6" stopIfTrue="1" operator="endsWith" text="32">
      <formula>RIGHT(A67,LEN("32"))="32"</formula>
    </cfRule>
    <cfRule type="endsWith" dxfId="11" priority="7" stopIfTrue="1" operator="endsWith" text="47">
      <formula>RIGHT(A67,LEN("47"))="47"</formula>
    </cfRule>
    <cfRule type="endsWith" dxfId="10" priority="8" stopIfTrue="1" operator="endsWith" text="48">
      <formula>RIGHT(A67,LEN("48"))="48"</formula>
    </cfRule>
    <cfRule type="endsWith" dxfId="9" priority="9" stopIfTrue="1" operator="endsWith" text="63">
      <formula>RIGHT(A67,LEN("63"))="63"</formula>
    </cfRule>
    <cfRule type="endsWith" dxfId="8" priority="10" stopIfTrue="1" operator="endsWith" text="64">
      <formula>RIGHT(A67,LEN("64"))="64"</formula>
    </cfRule>
    <cfRule type="endsWith" dxfId="7" priority="11" stopIfTrue="1" operator="endsWith" text="79">
      <formula>RIGHT(A67,LEN("79"))="79"</formula>
    </cfRule>
    <cfRule type="endsWith" dxfId="6" priority="12" stopIfTrue="1" operator="endsWith" text="80">
      <formula>RIGHT(A67,LEN("80"))="80"</formula>
    </cfRule>
    <cfRule type="endsWith" dxfId="5" priority="13" stopIfTrue="1" operator="endsWith" text="95">
      <formula>RIGHT(A67,LEN("95"))="95"</formula>
    </cfRule>
    <cfRule type="endsWith" dxfId="4" priority="14" stopIfTrue="1" operator="endsWith" text="96">
      <formula>RIGHT(A67,LEN("96"))="96"</formula>
    </cfRule>
  </conditionalFormatting>
  <conditionalFormatting sqref="B1:B103">
    <cfRule type="containsText" dxfId="3" priority="19" operator="containsText" text="BATT. TRBL">
      <formula>NOT(ISERROR(SEARCH("BATT. TRBL",B1)))</formula>
    </cfRule>
    <cfRule type="containsText" dxfId="2" priority="20" operator="containsText" text="A/C LOSS">
      <formula>NOT(ISERROR(SEARCH("A/C LOSS",B1)))</formula>
    </cfRule>
  </conditionalFormatting>
  <conditionalFormatting sqref="B105:B1048576">
    <cfRule type="containsText" dxfId="1" priority="1" operator="containsText" text="BATT. TRBL">
      <formula>NOT(ISERROR(SEARCH("BATT. TRBL",B105)))</formula>
    </cfRule>
    <cfRule type="containsText" dxfId="0" priority="2" operator="containsText" text="A/C LOSS">
      <formula>NOT(ISERROR(SEARCH("A/C LOSS",B105)))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C00000"/>
    <pageSetUpPr fitToPage="1"/>
  </sheetPr>
  <dimension ref="B1:P375"/>
  <sheetViews>
    <sheetView tabSelected="1" zoomScale="90" zoomScaleNormal="90" workbookViewId="0">
      <selection activeCell="F282" sqref="F282:H282"/>
    </sheetView>
  </sheetViews>
  <sheetFormatPr baseColWidth="10" defaultColWidth="8.6640625" defaultRowHeight="15" x14ac:dyDescent="0.2"/>
  <cols>
    <col min="1" max="1" width="2.5" customWidth="1"/>
    <col min="2" max="2" width="23" customWidth="1"/>
    <col min="3" max="3" width="17.6640625" customWidth="1"/>
    <col min="4" max="4" width="72.5" customWidth="1"/>
    <col min="6" max="6" width="23" customWidth="1"/>
    <col min="7" max="7" width="17.6640625" customWidth="1"/>
    <col min="8" max="8" width="72.5" customWidth="1"/>
  </cols>
  <sheetData>
    <row r="1" spans="2:8" ht="16" customHeight="1" thickBot="1" x14ac:dyDescent="0.25"/>
    <row r="2" spans="2:8" ht="19" customHeight="1" x14ac:dyDescent="0.2">
      <c r="B2" s="89" t="str">
        <f>Header!B3</f>
        <v>[SCHOOL NAME]</v>
      </c>
      <c r="C2" s="90"/>
      <c r="D2" s="91"/>
      <c r="F2" s="89" t="str">
        <f>Header!B3</f>
        <v>[SCHOOL NAME]</v>
      </c>
      <c r="G2" s="90"/>
      <c r="H2" s="91"/>
    </row>
    <row r="3" spans="2:8" ht="19" customHeight="1" x14ac:dyDescent="0.2">
      <c r="B3" s="95" t="str">
        <f>Header!B4</f>
        <v>[ADDRESS]</v>
      </c>
      <c r="C3" s="93"/>
      <c r="D3" s="94"/>
      <c r="F3" s="95" t="str">
        <f>Header!B4</f>
        <v>[ADDRESS]</v>
      </c>
      <c r="G3" s="93"/>
      <c r="H3" s="94"/>
    </row>
    <row r="4" spans="2:8" ht="19" customHeight="1" x14ac:dyDescent="0.2">
      <c r="B4" s="95" t="str">
        <f>Header!B5</f>
        <v>[CITY, STATE ZIP]</v>
      </c>
      <c r="C4" s="93"/>
      <c r="D4" s="94"/>
      <c r="F4" s="95" t="str">
        <f>Header!B5</f>
        <v>[CITY, STATE ZIP]</v>
      </c>
      <c r="G4" s="93"/>
      <c r="H4" s="94"/>
    </row>
    <row r="5" spans="2:8" x14ac:dyDescent="0.2">
      <c r="B5" s="14"/>
      <c r="C5" s="2"/>
      <c r="D5" s="15"/>
      <c r="F5" s="14"/>
      <c r="G5" s="2"/>
      <c r="H5" s="15"/>
    </row>
    <row r="6" spans="2:8" ht="16" customHeight="1" thickBot="1" x14ac:dyDescent="0.25">
      <c r="B6" s="16"/>
      <c r="C6" s="17"/>
      <c r="D6" s="18"/>
      <c r="F6" s="16"/>
      <c r="G6" s="17"/>
      <c r="H6" s="18"/>
    </row>
    <row r="7" spans="2:8" ht="17" customHeight="1" thickBot="1" x14ac:dyDescent="0.25">
      <c r="B7" s="103">
        <f>Master!D67</f>
        <v>0</v>
      </c>
      <c r="C7" s="104"/>
      <c r="D7" s="105"/>
      <c r="F7" s="103">
        <f>Master!D83</f>
        <v>0</v>
      </c>
      <c r="G7" s="104"/>
      <c r="H7" s="105"/>
    </row>
    <row r="8" spans="2:8" ht="17" customHeight="1" thickBot="1" x14ac:dyDescent="0.25">
      <c r="B8" s="3" t="s">
        <v>638</v>
      </c>
      <c r="C8" s="3" t="s">
        <v>639</v>
      </c>
      <c r="D8" s="19" t="s">
        <v>2</v>
      </c>
      <c r="F8" s="3" t="s">
        <v>638</v>
      </c>
      <c r="G8" s="3" t="s">
        <v>639</v>
      </c>
      <c r="H8" s="19" t="s">
        <v>2</v>
      </c>
    </row>
    <row r="9" spans="2:8" x14ac:dyDescent="0.2">
      <c r="B9" s="5" t="str">
        <f>Master!A67&amp;" Field"</f>
        <v>Z501 Field</v>
      </c>
      <c r="C9" s="5" t="str">
        <f>Master!A67&amp;" Panel"</f>
        <v>Z501 Panel</v>
      </c>
      <c r="D9" s="13">
        <f>Master!B67</f>
        <v>0</v>
      </c>
      <c r="F9" s="5" t="str">
        <f>Master!A83&amp;" Field"</f>
        <v>Z517 Field</v>
      </c>
      <c r="G9" s="5" t="str">
        <f>Master!A83&amp;" Panel"</f>
        <v>Z517 Panel</v>
      </c>
      <c r="H9" s="13">
        <f>Master!B83</f>
        <v>0</v>
      </c>
    </row>
    <row r="10" spans="2:8" x14ac:dyDescent="0.2">
      <c r="B10" s="5" t="str">
        <f>Master!A68&amp;" Field"</f>
        <v>Z502 Field</v>
      </c>
      <c r="C10" s="5" t="str">
        <f>Master!A68&amp;" Panel"</f>
        <v>Z502 Panel</v>
      </c>
      <c r="D10" s="13">
        <f>Master!B68</f>
        <v>0</v>
      </c>
      <c r="F10" s="5" t="str">
        <f>Master!A84&amp;" Field"</f>
        <v>Z518 Field</v>
      </c>
      <c r="G10" s="5" t="str">
        <f>Master!A84&amp;" Panel"</f>
        <v>Z518 Panel</v>
      </c>
      <c r="H10" s="13">
        <f>Master!B84</f>
        <v>0</v>
      </c>
    </row>
    <row r="11" spans="2:8" x14ac:dyDescent="0.2">
      <c r="B11" s="5" t="str">
        <f>Master!A69&amp;" Field"</f>
        <v>Z503 Field</v>
      </c>
      <c r="C11" s="5" t="str">
        <f>Master!A69&amp;" Panel"</f>
        <v>Z503 Panel</v>
      </c>
      <c r="D11" s="13">
        <f>Master!B69</f>
        <v>0</v>
      </c>
      <c r="F11" s="5" t="str">
        <f>Master!A85&amp;" Field"</f>
        <v>Z519 Field</v>
      </c>
      <c r="G11" s="5" t="str">
        <f>Master!A85&amp;" Panel"</f>
        <v>Z519 Panel</v>
      </c>
      <c r="H11" s="13">
        <f>Master!B85</f>
        <v>0</v>
      </c>
    </row>
    <row r="12" spans="2:8" x14ac:dyDescent="0.2">
      <c r="B12" s="5" t="str">
        <f>Master!A70&amp;" Field"</f>
        <v>Z504 Field</v>
      </c>
      <c r="C12" s="5" t="str">
        <f>Master!A70&amp;" Panel"</f>
        <v>Z504 Panel</v>
      </c>
      <c r="D12" s="13">
        <f>Master!B70</f>
        <v>0</v>
      </c>
      <c r="F12" s="5" t="str">
        <f>Master!A86&amp;" Field"</f>
        <v>Z520 Field</v>
      </c>
      <c r="G12" s="5" t="str">
        <f>Master!A86&amp;" Panel"</f>
        <v>Z520 Panel</v>
      </c>
      <c r="H12" s="13">
        <f>Master!B86</f>
        <v>0</v>
      </c>
    </row>
    <row r="13" spans="2:8" x14ac:dyDescent="0.2">
      <c r="B13" s="5" t="str">
        <f>Master!A71&amp;" Field"</f>
        <v>Z505 Field</v>
      </c>
      <c r="C13" s="5" t="str">
        <f>Master!A71&amp;" Panel"</f>
        <v>Z505 Panel</v>
      </c>
      <c r="D13" s="13">
        <f>Master!B71</f>
        <v>0</v>
      </c>
      <c r="F13" s="5" t="str">
        <f>Master!A87&amp;" Field"</f>
        <v>Z521 Field</v>
      </c>
      <c r="G13" s="5" t="str">
        <f>Master!A87&amp;" Panel"</f>
        <v>Z521 Panel</v>
      </c>
      <c r="H13" s="13">
        <f>Master!B87</f>
        <v>0</v>
      </c>
    </row>
    <row r="14" spans="2:8" x14ac:dyDescent="0.2">
      <c r="B14" s="5" t="str">
        <f>Master!A72&amp;" Field"</f>
        <v>Z506 Field</v>
      </c>
      <c r="C14" s="5" t="str">
        <f>Master!A72&amp;" Panel"</f>
        <v>Z506 Panel</v>
      </c>
      <c r="D14" s="13">
        <f>Master!B72</f>
        <v>0</v>
      </c>
      <c r="F14" s="5" t="str">
        <f>Master!A88&amp;" Field"</f>
        <v>Z522 Field</v>
      </c>
      <c r="G14" s="5" t="str">
        <f>Master!A88&amp;" Panel"</f>
        <v>Z522 Panel</v>
      </c>
      <c r="H14" s="13">
        <f>Master!B88</f>
        <v>0</v>
      </c>
    </row>
    <row r="15" spans="2:8" x14ac:dyDescent="0.2">
      <c r="B15" s="5" t="str">
        <f>Master!A73&amp;" Field"</f>
        <v>Z507 Field</v>
      </c>
      <c r="C15" s="5" t="str">
        <f>Master!A73&amp;" Panel"</f>
        <v>Z507 Panel</v>
      </c>
      <c r="D15" s="13">
        <f>Master!B73</f>
        <v>0</v>
      </c>
      <c r="F15" s="5" t="str">
        <f>Master!A89&amp;" Field"</f>
        <v>Z523 Field</v>
      </c>
      <c r="G15" s="5" t="str">
        <f>Master!A89&amp;" Panel"</f>
        <v>Z523 Panel</v>
      </c>
      <c r="H15" s="13">
        <f>Master!B89</f>
        <v>0</v>
      </c>
    </row>
    <row r="16" spans="2:8" x14ac:dyDescent="0.2">
      <c r="B16" s="5" t="str">
        <f>Master!A74&amp;" Field"</f>
        <v>Z508 Field</v>
      </c>
      <c r="C16" s="5" t="str">
        <f>Master!A74&amp;" Panel"</f>
        <v>Z508 Panel</v>
      </c>
      <c r="D16" s="13">
        <f>Master!B74</f>
        <v>0</v>
      </c>
      <c r="F16" s="5" t="str">
        <f>Master!A90&amp;" Field"</f>
        <v>Z524 Field</v>
      </c>
      <c r="G16" s="5" t="str">
        <f>Master!A90&amp;" Panel"</f>
        <v>Z524 Panel</v>
      </c>
      <c r="H16" s="13">
        <f>Master!B90</f>
        <v>0</v>
      </c>
    </row>
    <row r="17" spans="2:12" x14ac:dyDescent="0.2">
      <c r="B17" s="5" t="str">
        <f>Master!A75&amp;" Field"</f>
        <v>Z509 Field</v>
      </c>
      <c r="C17" s="5" t="str">
        <f>Master!A75&amp;" Panel"</f>
        <v>Z509 Panel</v>
      </c>
      <c r="D17" s="13">
        <f>Master!B75</f>
        <v>0</v>
      </c>
      <c r="F17" s="5" t="str">
        <f>Master!A91&amp;" Field"</f>
        <v>Z525 Field</v>
      </c>
      <c r="G17" s="5" t="str">
        <f>Master!A91&amp;" Panel"</f>
        <v>Z525 Panel</v>
      </c>
      <c r="H17" s="13">
        <f>Master!B91</f>
        <v>0</v>
      </c>
    </row>
    <row r="18" spans="2:12" x14ac:dyDescent="0.2">
      <c r="B18" s="5" t="str">
        <f>Master!A76&amp;" Field"</f>
        <v>Z510 Field</v>
      </c>
      <c r="C18" s="5" t="str">
        <f>Master!A76&amp;" Panel"</f>
        <v>Z510 Panel</v>
      </c>
      <c r="D18" s="13">
        <f>Master!B76</f>
        <v>0</v>
      </c>
      <c r="F18" s="5" t="str">
        <f>Master!A92&amp;" Field"</f>
        <v>Z526 Field</v>
      </c>
      <c r="G18" s="5" t="str">
        <f>Master!A92&amp;" Panel"</f>
        <v>Z526 Panel</v>
      </c>
      <c r="H18" s="13">
        <f>Master!B92</f>
        <v>0</v>
      </c>
    </row>
    <row r="19" spans="2:12" x14ac:dyDescent="0.2">
      <c r="B19" s="5" t="str">
        <f>Master!A77&amp;" Field"</f>
        <v>Z511 Field</v>
      </c>
      <c r="C19" s="5" t="str">
        <f>Master!A77&amp;" Panel"</f>
        <v>Z511 Panel</v>
      </c>
      <c r="D19" s="13">
        <f>Master!B77</f>
        <v>0</v>
      </c>
      <c r="F19" s="5" t="str">
        <f>Master!A93&amp;" Field"</f>
        <v>Z527 Field</v>
      </c>
      <c r="G19" s="5" t="str">
        <f>Master!A93&amp;" Panel"</f>
        <v>Z527 Panel</v>
      </c>
      <c r="H19" s="13">
        <f>Master!B93</f>
        <v>0</v>
      </c>
    </row>
    <row r="20" spans="2:12" x14ac:dyDescent="0.2">
      <c r="B20" s="5" t="str">
        <f>Master!A78&amp;" Field"</f>
        <v>Z512 Field</v>
      </c>
      <c r="C20" s="5" t="str">
        <f>Master!A78&amp;" Panel"</f>
        <v>Z512 Panel</v>
      </c>
      <c r="D20" s="13">
        <f>Master!B78</f>
        <v>0</v>
      </c>
      <c r="F20" s="5" t="str">
        <f>Master!A94&amp;" Field"</f>
        <v>Z528 Field</v>
      </c>
      <c r="G20" s="5" t="str">
        <f>Master!A94&amp;" Panel"</f>
        <v>Z528 Panel</v>
      </c>
      <c r="H20" s="13">
        <f>Master!B94</f>
        <v>0</v>
      </c>
    </row>
    <row r="21" spans="2:12" x14ac:dyDescent="0.2">
      <c r="B21" s="5" t="str">
        <f>Master!A79&amp;" Field"</f>
        <v>Z513 Field</v>
      </c>
      <c r="C21" s="5" t="str">
        <f>Master!A79&amp;" Panel"</f>
        <v>Z513 Panel</v>
      </c>
      <c r="D21" s="13">
        <f>Master!B79</f>
        <v>0</v>
      </c>
      <c r="F21" s="5" t="str">
        <f>Master!A95&amp;" Field"</f>
        <v>Z529 Field</v>
      </c>
      <c r="G21" s="5" t="str">
        <f>Master!A95&amp;" Panel"</f>
        <v>Z529 Panel</v>
      </c>
      <c r="H21" s="13">
        <f>Master!B95</f>
        <v>0</v>
      </c>
    </row>
    <row r="22" spans="2:12" x14ac:dyDescent="0.2">
      <c r="B22" s="5" t="str">
        <f>Master!A80&amp;" Field"</f>
        <v>Z514 Field</v>
      </c>
      <c r="C22" s="5" t="str">
        <f>Master!A80&amp;" Panel"</f>
        <v>Z514 Panel</v>
      </c>
      <c r="D22" s="13">
        <f>Master!B80</f>
        <v>0</v>
      </c>
      <c r="F22" s="5" t="str">
        <f>Master!A96&amp;" Field"</f>
        <v>Z530 Field</v>
      </c>
      <c r="G22" s="5" t="str">
        <f>Master!A96&amp;" Panel"</f>
        <v>Z530 Panel</v>
      </c>
      <c r="H22" s="13">
        <f>Master!B96</f>
        <v>0</v>
      </c>
    </row>
    <row r="23" spans="2:12" x14ac:dyDescent="0.2">
      <c r="B23" s="5" t="str">
        <f>Master!A81&amp;" Field"</f>
        <v>Z515 Field</v>
      </c>
      <c r="C23" s="5" t="str">
        <f>Master!A81&amp;" Panel"</f>
        <v>Z515 Panel</v>
      </c>
      <c r="D23" s="13" t="str">
        <f>Master!B81</f>
        <v>PS-1: A/C LOSS</v>
      </c>
      <c r="F23" s="5" t="str">
        <f>Master!A97&amp;" Field"</f>
        <v>Z531 Field</v>
      </c>
      <c r="G23" s="5" t="str">
        <f>Master!A97&amp;" Panel"</f>
        <v>Z531 Panel</v>
      </c>
      <c r="H23" s="13" t="str">
        <f>Master!B97</f>
        <v>PS-2: A/C LOSS</v>
      </c>
    </row>
    <row r="24" spans="2:12" x14ac:dyDescent="0.2">
      <c r="B24" s="5" t="str">
        <f>Master!A82&amp;" Field"</f>
        <v>Z516 Field</v>
      </c>
      <c r="C24" s="5" t="str">
        <f>Master!A82&amp;" Panel"</f>
        <v>Z516 Panel</v>
      </c>
      <c r="D24" s="13" t="str">
        <f>Master!B82</f>
        <v>PS-1: BATT. TRBL.</v>
      </c>
      <c r="F24" s="5" t="str">
        <f>Master!A98&amp;" Field"</f>
        <v>Z532 Field</v>
      </c>
      <c r="G24" s="5" t="str">
        <f>Master!A98&amp;" Panel"</f>
        <v>Z532 Panel</v>
      </c>
      <c r="H24" s="13" t="str">
        <f>Master!B98</f>
        <v>PS-2: BATT. TRBL.</v>
      </c>
    </row>
    <row r="25" spans="2:12" x14ac:dyDescent="0.2">
      <c r="B25" s="5" t="s">
        <v>640</v>
      </c>
      <c r="C25" s="5" t="s">
        <v>641</v>
      </c>
      <c r="D25" s="13" t="s">
        <v>642</v>
      </c>
      <c r="F25" s="5" t="s">
        <v>640</v>
      </c>
      <c r="G25" s="5" t="s">
        <v>643</v>
      </c>
      <c r="H25" s="13" t="s">
        <v>644</v>
      </c>
    </row>
    <row r="26" spans="2:12" ht="16" customHeight="1" thickBot="1" x14ac:dyDescent="0.25">
      <c r="F26" s="5"/>
      <c r="G26" s="5"/>
      <c r="H26" s="13"/>
    </row>
    <row r="27" spans="2:12" ht="19" customHeight="1" x14ac:dyDescent="0.2">
      <c r="B27" s="89" t="str">
        <f>Header!B3</f>
        <v>[SCHOOL NAME]</v>
      </c>
      <c r="C27" s="90"/>
      <c r="D27" s="91"/>
      <c r="E27" s="23"/>
      <c r="F27" s="89" t="str">
        <f>Header!B3</f>
        <v>[SCHOOL NAME]</v>
      </c>
      <c r="G27" s="90"/>
      <c r="H27" s="91"/>
      <c r="I27" s="23"/>
      <c r="J27" s="37"/>
      <c r="K27" s="37"/>
      <c r="L27" s="38"/>
    </row>
    <row r="28" spans="2:12" ht="19" customHeight="1" x14ac:dyDescent="0.2">
      <c r="B28" s="95" t="str">
        <f>Header!B4</f>
        <v>[ADDRESS]</v>
      </c>
      <c r="C28" s="93"/>
      <c r="D28" s="94"/>
      <c r="E28" s="23"/>
      <c r="F28" s="100" t="str">
        <f>Header!B4</f>
        <v>[ADDRESS]</v>
      </c>
      <c r="G28" s="101"/>
      <c r="H28" s="102"/>
      <c r="I28" s="23"/>
      <c r="J28" s="37"/>
      <c r="K28" s="37"/>
      <c r="L28" s="38"/>
    </row>
    <row r="29" spans="2:12" ht="19" x14ac:dyDescent="0.2">
      <c r="B29" s="95" t="str">
        <f>Header!B5</f>
        <v>[CITY, STATE ZIP]</v>
      </c>
      <c r="C29" s="93"/>
      <c r="D29" s="94"/>
      <c r="E29" s="23"/>
      <c r="F29" s="100" t="str">
        <f>Header!B5</f>
        <v>[CITY, STATE ZIP]</v>
      </c>
      <c r="G29" s="101"/>
      <c r="H29" s="102"/>
      <c r="I29" s="23"/>
      <c r="J29" s="37"/>
      <c r="K29" s="37"/>
      <c r="L29" s="38"/>
    </row>
    <row r="30" spans="2:12" x14ac:dyDescent="0.2">
      <c r="B30" s="14"/>
      <c r="C30" s="2"/>
      <c r="D30" s="15"/>
      <c r="E30" s="23"/>
      <c r="F30" s="14"/>
      <c r="G30" s="2"/>
      <c r="H30" s="15"/>
      <c r="I30" s="23"/>
      <c r="J30" s="37"/>
      <c r="K30" s="37"/>
      <c r="L30" s="38"/>
    </row>
    <row r="31" spans="2:12" ht="16" customHeight="1" thickBot="1" x14ac:dyDescent="0.25">
      <c r="B31" s="16"/>
      <c r="C31" s="17"/>
      <c r="D31" s="18"/>
      <c r="E31" s="23"/>
      <c r="F31" s="16"/>
      <c r="G31" s="17"/>
      <c r="H31" s="18"/>
      <c r="I31" s="23"/>
      <c r="J31" s="37"/>
      <c r="K31" s="37"/>
      <c r="L31" s="38"/>
    </row>
    <row r="32" spans="2:12" ht="17" customHeight="1" thickBot="1" x14ac:dyDescent="0.25">
      <c r="B32" s="103">
        <f>Master!D99</f>
        <v>0</v>
      </c>
      <c r="C32" s="104"/>
      <c r="D32" s="105"/>
      <c r="E32" s="23"/>
      <c r="F32" s="103">
        <f>Master!D115</f>
        <v>0</v>
      </c>
      <c r="G32" s="104"/>
      <c r="H32" s="105"/>
      <c r="I32" s="23"/>
      <c r="J32" s="37"/>
      <c r="K32" s="37"/>
      <c r="L32" s="38"/>
    </row>
    <row r="33" spans="2:12" ht="17" customHeight="1" thickBot="1" x14ac:dyDescent="0.25">
      <c r="B33" s="3" t="s">
        <v>638</v>
      </c>
      <c r="C33" s="3" t="s">
        <v>639</v>
      </c>
      <c r="D33" s="19" t="s">
        <v>2</v>
      </c>
      <c r="E33" s="23"/>
      <c r="F33" s="3" t="s">
        <v>638</v>
      </c>
      <c r="G33" s="3" t="s">
        <v>639</v>
      </c>
      <c r="H33" s="19" t="s">
        <v>2</v>
      </c>
      <c r="I33" s="23"/>
      <c r="J33" s="37"/>
      <c r="K33" s="37"/>
      <c r="L33" s="38"/>
    </row>
    <row r="34" spans="2:12" x14ac:dyDescent="0.2">
      <c r="B34" s="5" t="str">
        <f>Master!A99&amp;" Field"</f>
        <v>Z533 Field</v>
      </c>
      <c r="C34" s="5" t="str">
        <f>Master!A99&amp;" Panel"</f>
        <v>Z533 Panel</v>
      </c>
      <c r="D34" s="13">
        <f>Master!B99</f>
        <v>0</v>
      </c>
      <c r="E34" s="23"/>
      <c r="F34" s="5" t="str">
        <f>Master!A115&amp;" Field"</f>
        <v>Z549 Field</v>
      </c>
      <c r="G34" s="5" t="str">
        <f>Master!A115&amp;" Panel"</f>
        <v>Z549 Panel</v>
      </c>
      <c r="H34" s="13">
        <f>Master!B115</f>
        <v>0</v>
      </c>
      <c r="I34" s="23"/>
      <c r="J34" s="37"/>
      <c r="K34" s="37"/>
      <c r="L34" s="38"/>
    </row>
    <row r="35" spans="2:12" x14ac:dyDescent="0.2">
      <c r="B35" s="5" t="str">
        <f>Master!A100&amp;" Field"</f>
        <v>Z534 Field</v>
      </c>
      <c r="C35" s="5" t="str">
        <f>Master!A100&amp;" Panel"</f>
        <v>Z534 Panel</v>
      </c>
      <c r="D35" s="13">
        <f>Master!B100</f>
        <v>0</v>
      </c>
      <c r="E35" s="23"/>
      <c r="F35" s="5" t="str">
        <f>Master!A116&amp;" Field"</f>
        <v>Z550 Field</v>
      </c>
      <c r="G35" s="5" t="str">
        <f>Master!A116&amp;" Panel"</f>
        <v>Z550 Panel</v>
      </c>
      <c r="H35" s="13">
        <f>Master!B116</f>
        <v>0</v>
      </c>
      <c r="I35" s="23"/>
      <c r="J35" s="37"/>
      <c r="K35" s="37"/>
      <c r="L35" s="38"/>
    </row>
    <row r="36" spans="2:12" x14ac:dyDescent="0.2">
      <c r="B36" s="5" t="str">
        <f>Master!A101&amp;" Field"</f>
        <v>Z535 Field</v>
      </c>
      <c r="C36" s="5" t="str">
        <f>Master!A101&amp;" Panel"</f>
        <v>Z535 Panel</v>
      </c>
      <c r="D36" s="13">
        <f>Master!B101</f>
        <v>0</v>
      </c>
      <c r="E36" s="23"/>
      <c r="F36" s="5" t="str">
        <f>Master!A117&amp;" Field"</f>
        <v>Z551 Field</v>
      </c>
      <c r="G36" s="5" t="str">
        <f>Master!A117&amp;" Panel"</f>
        <v>Z551 Panel</v>
      </c>
      <c r="H36" s="13">
        <f>Master!B117</f>
        <v>0</v>
      </c>
      <c r="I36" s="23"/>
      <c r="J36" s="37"/>
      <c r="K36" s="37"/>
      <c r="L36" s="38"/>
    </row>
    <row r="37" spans="2:12" x14ac:dyDescent="0.2">
      <c r="B37" s="5" t="str">
        <f>Master!A102&amp;" Field"</f>
        <v>Z536 Field</v>
      </c>
      <c r="C37" s="5" t="str">
        <f>Master!A102&amp;" Panel"</f>
        <v>Z536 Panel</v>
      </c>
      <c r="D37" s="13">
        <f>Master!B102</f>
        <v>0</v>
      </c>
      <c r="E37" s="23"/>
      <c r="F37" s="5" t="str">
        <f>Master!A118&amp;" Field"</f>
        <v>Z552 Field</v>
      </c>
      <c r="G37" s="5" t="str">
        <f>Master!A118&amp;" Panel"</f>
        <v>Z552 Panel</v>
      </c>
      <c r="H37" s="13">
        <f>Master!B118</f>
        <v>0</v>
      </c>
      <c r="I37" s="23"/>
      <c r="J37" s="37"/>
      <c r="K37" s="37"/>
      <c r="L37" s="38"/>
    </row>
    <row r="38" spans="2:12" x14ac:dyDescent="0.2">
      <c r="B38" s="5" t="str">
        <f>Master!A103&amp;" Field"</f>
        <v>Z537 Field</v>
      </c>
      <c r="C38" s="5" t="str">
        <f>Master!A103&amp;" Panel"</f>
        <v>Z537 Panel</v>
      </c>
      <c r="D38" s="13">
        <f>Master!B103</f>
        <v>0</v>
      </c>
      <c r="E38" s="23"/>
      <c r="F38" s="5" t="str">
        <f>Master!A119&amp;" Field"</f>
        <v>Z553 Field</v>
      </c>
      <c r="G38" s="5" t="str">
        <f>Master!A119&amp;" Panel"</f>
        <v>Z553 Panel</v>
      </c>
      <c r="H38" s="13">
        <f>Master!B119</f>
        <v>0</v>
      </c>
      <c r="I38" s="23"/>
      <c r="J38" s="37"/>
      <c r="K38" s="37"/>
      <c r="L38" s="38"/>
    </row>
    <row r="39" spans="2:12" x14ac:dyDescent="0.2">
      <c r="B39" s="5" t="str">
        <f>Master!A104&amp;" Field"</f>
        <v>Z538 Field</v>
      </c>
      <c r="C39" s="5" t="str">
        <f>Master!A104&amp;" Panel"</f>
        <v>Z538 Panel</v>
      </c>
      <c r="D39" s="13">
        <f>Master!B104</f>
        <v>0</v>
      </c>
      <c r="E39" s="23"/>
      <c r="F39" s="5" t="str">
        <f>Master!A120&amp;" Field"</f>
        <v>Z554 Field</v>
      </c>
      <c r="G39" s="5" t="str">
        <f>Master!A120&amp;" Panel"</f>
        <v>Z554 Panel</v>
      </c>
      <c r="H39" s="13">
        <f>Master!B120</f>
        <v>0</v>
      </c>
      <c r="I39" s="23"/>
      <c r="J39" s="37"/>
      <c r="K39" s="37"/>
      <c r="L39" s="38"/>
    </row>
    <row r="40" spans="2:12" x14ac:dyDescent="0.2">
      <c r="B40" s="5" t="str">
        <f>Master!A105&amp;" Field"</f>
        <v>Z539 Field</v>
      </c>
      <c r="C40" s="5" t="str">
        <f>Master!A105&amp;" Panel"</f>
        <v>Z539 Panel</v>
      </c>
      <c r="D40" s="13">
        <f>Master!B105</f>
        <v>0</v>
      </c>
      <c r="E40" s="23"/>
      <c r="F40" s="5" t="str">
        <f>Master!A121&amp;" Field"</f>
        <v>Z555 Field</v>
      </c>
      <c r="G40" s="5" t="str">
        <f>Master!A121&amp;" Panel"</f>
        <v>Z555 Panel</v>
      </c>
      <c r="H40" s="13">
        <f>Master!B121</f>
        <v>0</v>
      </c>
      <c r="I40" s="23"/>
      <c r="J40" s="37"/>
      <c r="K40" s="37"/>
      <c r="L40" s="38"/>
    </row>
    <row r="41" spans="2:12" x14ac:dyDescent="0.2">
      <c r="B41" s="5" t="str">
        <f>Master!A106&amp;" Field"</f>
        <v>Z540 Field</v>
      </c>
      <c r="C41" s="5" t="str">
        <f>Master!A106&amp;" Panel"</f>
        <v>Z540 Panel</v>
      </c>
      <c r="D41" s="13">
        <f>Master!B106</f>
        <v>0</v>
      </c>
      <c r="E41" s="23"/>
      <c r="F41" s="5" t="str">
        <f>Master!A122&amp;" Field"</f>
        <v>Z556 Field</v>
      </c>
      <c r="G41" s="5" t="str">
        <f>Master!A122&amp;" Panel"</f>
        <v>Z556 Panel</v>
      </c>
      <c r="H41" s="13">
        <f>Master!B122</f>
        <v>0</v>
      </c>
      <c r="I41" s="23"/>
      <c r="J41" s="23"/>
      <c r="K41" s="23"/>
      <c r="L41" s="23"/>
    </row>
    <row r="42" spans="2:12" x14ac:dyDescent="0.2">
      <c r="B42" s="5" t="str">
        <f>Master!A107&amp;" Field"</f>
        <v>Z541 Field</v>
      </c>
      <c r="C42" s="5" t="str">
        <f>Master!A107&amp;" Panel"</f>
        <v>Z541 Panel</v>
      </c>
      <c r="D42" s="13">
        <f>Master!B107</f>
        <v>0</v>
      </c>
      <c r="E42" s="23"/>
      <c r="F42" s="5" t="str">
        <f>Master!A123&amp;" Field"</f>
        <v>Z557 Field</v>
      </c>
      <c r="G42" s="5" t="str">
        <f>Master!A123&amp;" Panel"</f>
        <v>Z557 Panel</v>
      </c>
      <c r="H42" s="13">
        <f>Master!B123</f>
        <v>0</v>
      </c>
      <c r="I42" s="23"/>
      <c r="J42" s="23"/>
      <c r="K42" s="23"/>
      <c r="L42" s="23"/>
    </row>
    <row r="43" spans="2:12" x14ac:dyDescent="0.2">
      <c r="B43" s="5" t="str">
        <f>Master!A108&amp;" Field"</f>
        <v>Z542 Field</v>
      </c>
      <c r="C43" s="5" t="str">
        <f>Master!A108&amp;" Panel"</f>
        <v>Z542 Panel</v>
      </c>
      <c r="D43" s="13">
        <f>Master!B108</f>
        <v>0</v>
      </c>
      <c r="E43" s="23"/>
      <c r="F43" s="5" t="str">
        <f>Master!A124&amp;" Field"</f>
        <v>Z558 Field</v>
      </c>
      <c r="G43" s="5" t="str">
        <f>Master!A124&amp;" Panel"</f>
        <v>Z558 Panel</v>
      </c>
      <c r="H43" s="13">
        <f>Master!B124</f>
        <v>0</v>
      </c>
      <c r="I43" s="23"/>
      <c r="J43" s="23"/>
      <c r="K43" s="23"/>
      <c r="L43" s="23"/>
    </row>
    <row r="44" spans="2:12" x14ac:dyDescent="0.2">
      <c r="B44" s="5" t="str">
        <f>Master!A109&amp;" Field"</f>
        <v>Z543 Field</v>
      </c>
      <c r="C44" s="5" t="str">
        <f>Master!A109&amp;" Panel"</f>
        <v>Z543 Panel</v>
      </c>
      <c r="D44" s="13">
        <f>Master!B109</f>
        <v>0</v>
      </c>
      <c r="E44" s="23"/>
      <c r="F44" s="5" t="str">
        <f>Master!A125&amp;" Field"</f>
        <v>Z559 Field</v>
      </c>
      <c r="G44" s="5" t="str">
        <f>Master!A125&amp;" Panel"</f>
        <v>Z559 Panel</v>
      </c>
      <c r="H44" s="13">
        <f>Master!B125</f>
        <v>0</v>
      </c>
      <c r="I44" s="23"/>
      <c r="J44" s="23"/>
      <c r="K44" s="23"/>
      <c r="L44" s="23"/>
    </row>
    <row r="45" spans="2:12" x14ac:dyDescent="0.2">
      <c r="B45" s="5" t="str">
        <f>Master!A110&amp;" Field"</f>
        <v>Z544 Field</v>
      </c>
      <c r="C45" s="5" t="str">
        <f>Master!A110&amp;" Panel"</f>
        <v>Z544 Panel</v>
      </c>
      <c r="D45" s="13">
        <f>Master!B110</f>
        <v>0</v>
      </c>
      <c r="E45" s="23"/>
      <c r="F45" s="5" t="str">
        <f>Master!A126&amp;" Field"</f>
        <v>Z560 Field</v>
      </c>
      <c r="G45" s="5" t="str">
        <f>Master!A126&amp;" Panel"</f>
        <v>Z560 Panel</v>
      </c>
      <c r="H45" s="13">
        <f>Master!B126</f>
        <v>0</v>
      </c>
      <c r="I45" s="23"/>
      <c r="J45" s="23"/>
      <c r="K45" s="23"/>
      <c r="L45" s="23"/>
    </row>
    <row r="46" spans="2:12" x14ac:dyDescent="0.2">
      <c r="B46" s="5" t="str">
        <f>Master!A111&amp;" Field"</f>
        <v>Z545 Field</v>
      </c>
      <c r="C46" s="5" t="str">
        <f>Master!A111&amp;" Panel"</f>
        <v>Z545 Panel</v>
      </c>
      <c r="D46" s="13">
        <f>Master!B111</f>
        <v>0</v>
      </c>
      <c r="E46" s="23"/>
      <c r="F46" s="5" t="str">
        <f>Master!A127&amp;" Field"</f>
        <v>Z561 Field</v>
      </c>
      <c r="G46" s="5" t="str">
        <f>Master!A127&amp;" Panel"</f>
        <v>Z561 Panel</v>
      </c>
      <c r="H46" s="13">
        <f>Master!B127</f>
        <v>0</v>
      </c>
      <c r="I46" s="23"/>
      <c r="J46" s="23"/>
      <c r="K46" s="23"/>
      <c r="L46" s="23"/>
    </row>
    <row r="47" spans="2:12" x14ac:dyDescent="0.2">
      <c r="B47" s="5" t="str">
        <f>Master!A112&amp;" Field"</f>
        <v>Z546 Field</v>
      </c>
      <c r="C47" s="5" t="str">
        <f>Master!A112&amp;" Panel"</f>
        <v>Z546 Panel</v>
      </c>
      <c r="D47" s="13">
        <f>Master!B112</f>
        <v>0</v>
      </c>
      <c r="E47" s="23"/>
      <c r="F47" s="5" t="str">
        <f>Master!A128&amp;" Field"</f>
        <v>Z562 Field</v>
      </c>
      <c r="G47" s="5" t="str">
        <f>Master!A128&amp;" Panel"</f>
        <v>Z562 Panel</v>
      </c>
      <c r="H47" s="13">
        <f>Master!B128</f>
        <v>0</v>
      </c>
      <c r="I47" s="23"/>
      <c r="J47" s="23"/>
      <c r="K47" s="23"/>
      <c r="L47" s="23"/>
    </row>
    <row r="48" spans="2:12" x14ac:dyDescent="0.2">
      <c r="B48" s="5" t="str">
        <f>Master!A113&amp;" Field"</f>
        <v>Z547 Field</v>
      </c>
      <c r="C48" s="5" t="str">
        <f>Master!A113&amp;" Panel"</f>
        <v>Z547 Panel</v>
      </c>
      <c r="D48" s="13" t="str">
        <f>Master!B113</f>
        <v>PS-3: A/C LOSS</v>
      </c>
      <c r="E48" s="23"/>
      <c r="F48" s="5" t="str">
        <f>Master!A129&amp;" Field"</f>
        <v>Z563 Field</v>
      </c>
      <c r="G48" s="5" t="str">
        <f>Master!A129&amp;" Panel"</f>
        <v>Z563 Panel</v>
      </c>
      <c r="H48" s="13" t="str">
        <f>Master!B129</f>
        <v>PS-4: A/C LOSS</v>
      </c>
      <c r="I48" s="23"/>
      <c r="J48" s="23"/>
      <c r="K48" s="23"/>
      <c r="L48" s="23"/>
    </row>
    <row r="49" spans="2:12" x14ac:dyDescent="0.2">
      <c r="B49" s="5" t="str">
        <f>Master!A114&amp;" Field"</f>
        <v>Z548 Field</v>
      </c>
      <c r="C49" s="5" t="str">
        <f>Master!A114&amp;" Panel"</f>
        <v>Z548 Panel</v>
      </c>
      <c r="D49" s="13" t="str">
        <f>Master!B114</f>
        <v>PS-3: BATT. TRBL.</v>
      </c>
      <c r="E49" s="23"/>
      <c r="F49" s="5" t="str">
        <f>Master!A130&amp;" Field"</f>
        <v>Z564 Field</v>
      </c>
      <c r="G49" s="5" t="str">
        <f>Master!A130&amp;" Panel"</f>
        <v>Z564 Panel</v>
      </c>
      <c r="H49" s="13" t="str">
        <f>Master!B130</f>
        <v>PS-4: BATT. TRBL.</v>
      </c>
      <c r="I49" s="23"/>
      <c r="J49" s="23"/>
      <c r="K49" s="23"/>
      <c r="L49" s="23"/>
    </row>
    <row r="50" spans="2:12" x14ac:dyDescent="0.2">
      <c r="B50" s="5" t="s">
        <v>640</v>
      </c>
      <c r="C50" s="5" t="s">
        <v>645</v>
      </c>
      <c r="D50" s="13" t="s">
        <v>646</v>
      </c>
      <c r="E50" s="23"/>
      <c r="F50" s="5" t="s">
        <v>640</v>
      </c>
      <c r="G50" s="5" t="s">
        <v>647</v>
      </c>
      <c r="H50" s="13" t="s">
        <v>648</v>
      </c>
      <c r="I50" s="23"/>
      <c r="J50" s="23"/>
      <c r="K50" s="23"/>
      <c r="L50" s="23"/>
    </row>
    <row r="51" spans="2:12" ht="16" customHeight="1" thickBot="1" x14ac:dyDescent="0.25">
      <c r="B51" s="23"/>
      <c r="C51" s="23"/>
      <c r="D51" s="23"/>
    </row>
    <row r="52" spans="2:12" ht="19" customHeight="1" x14ac:dyDescent="0.2">
      <c r="B52" s="99" t="str">
        <f>Header!B3</f>
        <v>[SCHOOL NAME]</v>
      </c>
      <c r="C52" s="90"/>
      <c r="D52" s="91"/>
      <c r="F52" s="89" t="str">
        <f>Header!B3</f>
        <v>[SCHOOL NAME]</v>
      </c>
      <c r="G52" s="90"/>
      <c r="H52" s="91"/>
    </row>
    <row r="53" spans="2:12" ht="19" customHeight="1" x14ac:dyDescent="0.2">
      <c r="B53" s="92" t="str">
        <f>Header!B4</f>
        <v>[ADDRESS]</v>
      </c>
      <c r="C53" s="93"/>
      <c r="D53" s="94"/>
      <c r="F53" s="100" t="str">
        <f>Header!B4</f>
        <v>[ADDRESS]</v>
      </c>
      <c r="G53" s="101"/>
      <c r="H53" s="102"/>
    </row>
    <row r="54" spans="2:12" ht="19" x14ac:dyDescent="0.2">
      <c r="B54" s="92" t="str">
        <f>Header!B5</f>
        <v>[CITY, STATE ZIP]</v>
      </c>
      <c r="C54" s="93"/>
      <c r="D54" s="94"/>
      <c r="F54" s="100" t="str">
        <f>Header!B5</f>
        <v>[CITY, STATE ZIP]</v>
      </c>
      <c r="G54" s="101"/>
      <c r="H54" s="102"/>
    </row>
    <row r="55" spans="2:12" x14ac:dyDescent="0.2">
      <c r="B55" s="39"/>
      <c r="C55" s="40"/>
      <c r="D55" s="41"/>
      <c r="F55" s="14"/>
      <c r="G55" s="2"/>
      <c r="H55" s="15"/>
    </row>
    <row r="56" spans="2:12" ht="16" customHeight="1" thickBot="1" x14ac:dyDescent="0.25">
      <c r="B56" s="42"/>
      <c r="C56" s="43"/>
      <c r="D56" s="44"/>
      <c r="F56" s="16"/>
      <c r="G56" s="17"/>
      <c r="H56" s="18"/>
    </row>
    <row r="57" spans="2:12" ht="17" customHeight="1" thickBot="1" x14ac:dyDescent="0.25">
      <c r="B57" s="96">
        <f>Master!D131</f>
        <v>0</v>
      </c>
      <c r="C57" s="97"/>
      <c r="D57" s="98"/>
      <c r="F57" s="103">
        <f>Master!D147</f>
        <v>0</v>
      </c>
      <c r="G57" s="104"/>
      <c r="H57" s="105"/>
    </row>
    <row r="58" spans="2:12" ht="17" customHeight="1" thickBot="1" x14ac:dyDescent="0.25">
      <c r="B58" s="45" t="s">
        <v>638</v>
      </c>
      <c r="C58" s="46" t="s">
        <v>639</v>
      </c>
      <c r="D58" s="47" t="s">
        <v>2</v>
      </c>
      <c r="F58" s="3" t="s">
        <v>638</v>
      </c>
      <c r="G58" s="3" t="s">
        <v>639</v>
      </c>
      <c r="H58" s="19" t="s">
        <v>2</v>
      </c>
    </row>
    <row r="59" spans="2:12" x14ac:dyDescent="0.2">
      <c r="B59" s="30" t="str">
        <f>Master!A131&amp;" Field"</f>
        <v>Z565 Field</v>
      </c>
      <c r="C59" s="31" t="str">
        <f>Master!A131&amp;" Panel"</f>
        <v>Z565 Panel</v>
      </c>
      <c r="D59" s="59">
        <f>Master!B131</f>
        <v>0</v>
      </c>
      <c r="F59" s="5" t="str">
        <f>Master!A147&amp;" Field"</f>
        <v>Z581 Field</v>
      </c>
      <c r="G59" s="5" t="str">
        <f>Master!A147&amp;" Panel"</f>
        <v>Z581 Panel</v>
      </c>
      <c r="H59" s="13">
        <f>Master!B147</f>
        <v>0</v>
      </c>
    </row>
    <row r="60" spans="2:12" x14ac:dyDescent="0.2">
      <c r="B60" s="33" t="str">
        <f>Master!A132&amp;" Field"</f>
        <v>Z566 Field</v>
      </c>
      <c r="C60" s="34" t="str">
        <f>Master!A132&amp;" Panel"</f>
        <v>Z566 Panel</v>
      </c>
      <c r="D60" s="61">
        <f>Master!B132</f>
        <v>0</v>
      </c>
      <c r="F60" s="5" t="str">
        <f>Master!A148&amp;" Field"</f>
        <v>Z582 Field</v>
      </c>
      <c r="G60" s="5" t="str">
        <f>Master!A148&amp;" Panel"</f>
        <v>Z582 Panel</v>
      </c>
      <c r="H60" s="13">
        <f>Master!B148</f>
        <v>0</v>
      </c>
    </row>
    <row r="61" spans="2:12" x14ac:dyDescent="0.2">
      <c r="B61" s="30" t="str">
        <f>Master!A133&amp;" Field"</f>
        <v>Z567 Field</v>
      </c>
      <c r="C61" s="31" t="str">
        <f>Master!A133&amp;" Panel"</f>
        <v>Z567 Panel</v>
      </c>
      <c r="D61" s="62">
        <f>Master!B133</f>
        <v>0</v>
      </c>
      <c r="F61" s="5" t="str">
        <f>Master!A149&amp;" Field"</f>
        <v>Z583 Field</v>
      </c>
      <c r="G61" s="5" t="str">
        <f>Master!A149&amp;" Panel"</f>
        <v>Z583 Panel</v>
      </c>
      <c r="H61" s="13">
        <f>Master!B149</f>
        <v>0</v>
      </c>
    </row>
    <row r="62" spans="2:12" x14ac:dyDescent="0.2">
      <c r="B62" s="33" t="str">
        <f>Master!A134&amp;" Field"</f>
        <v>Z568 Field</v>
      </c>
      <c r="C62" s="34" t="str">
        <f>Master!A134&amp;" Panel"</f>
        <v>Z568 Panel</v>
      </c>
      <c r="D62" s="63">
        <f>Master!B134</f>
        <v>0</v>
      </c>
      <c r="F62" s="5" t="str">
        <f>Master!A150&amp;" Field"</f>
        <v>Z584 Field</v>
      </c>
      <c r="G62" s="5" t="str">
        <f>Master!A150&amp;" Panel"</f>
        <v>Z584 Panel</v>
      </c>
      <c r="H62" s="13">
        <f>Master!B150</f>
        <v>0</v>
      </c>
    </row>
    <row r="63" spans="2:12" x14ac:dyDescent="0.2">
      <c r="B63" s="30" t="str">
        <f>Master!A135&amp;" Field"</f>
        <v>Z569 Field</v>
      </c>
      <c r="C63" s="31" t="str">
        <f>Master!A135&amp;" Panel"</f>
        <v>Z569 Panel</v>
      </c>
      <c r="D63" s="64">
        <f>Master!B135</f>
        <v>0</v>
      </c>
      <c r="F63" s="5" t="str">
        <f>Master!A151&amp;" Field"</f>
        <v>Z585 Field</v>
      </c>
      <c r="G63" s="5" t="str">
        <f>Master!A151&amp;" Panel"</f>
        <v>Z585 Panel</v>
      </c>
      <c r="H63" s="13">
        <f>Master!B151</f>
        <v>0</v>
      </c>
    </row>
    <row r="64" spans="2:12" x14ac:dyDescent="0.2">
      <c r="B64" s="33" t="str">
        <f>Master!A136&amp;" Field"</f>
        <v>Z570 Field</v>
      </c>
      <c r="C64" s="34" t="str">
        <f>Master!A136&amp;" Panel"</f>
        <v>Z570 Panel</v>
      </c>
      <c r="D64" s="63">
        <f>Master!B136</f>
        <v>0</v>
      </c>
      <c r="F64" s="5" t="str">
        <f>Master!A152&amp;" Field"</f>
        <v>Z586 Field</v>
      </c>
      <c r="G64" s="5" t="str">
        <f>Master!A152&amp;" Panel"</f>
        <v>Z586 Panel</v>
      </c>
      <c r="H64" s="13">
        <f>Master!B152</f>
        <v>0</v>
      </c>
    </row>
    <row r="65" spans="2:16" x14ac:dyDescent="0.2">
      <c r="B65" s="30" t="str">
        <f>Master!A137&amp;" Field"</f>
        <v>Z571 Field</v>
      </c>
      <c r="C65" s="31" t="str">
        <f>Master!A137&amp;" Panel"</f>
        <v>Z571 Panel</v>
      </c>
      <c r="D65" s="64">
        <f>Master!B137</f>
        <v>0</v>
      </c>
      <c r="F65" s="5" t="str">
        <f>Master!A153&amp;" Field"</f>
        <v>Z587 Field</v>
      </c>
      <c r="G65" s="5" t="str">
        <f>Master!A153&amp;" Panel"</f>
        <v>Z587 Panel</v>
      </c>
      <c r="H65" s="13">
        <f>Master!B153</f>
        <v>0</v>
      </c>
    </row>
    <row r="66" spans="2:16" x14ac:dyDescent="0.2">
      <c r="B66" s="33" t="str">
        <f>Master!A138&amp;" Field"</f>
        <v>Z572 Field</v>
      </c>
      <c r="C66" s="34" t="str">
        <f>Master!A138&amp;" Panel"</f>
        <v>Z572 Panel</v>
      </c>
      <c r="D66" s="61">
        <f>Master!B138</f>
        <v>0</v>
      </c>
      <c r="F66" s="5" t="str">
        <f>Master!A154&amp;" Field"</f>
        <v>Z588 Field</v>
      </c>
      <c r="G66" s="5" t="str">
        <f>Master!A154&amp;" Panel"</f>
        <v>Z588 Panel</v>
      </c>
      <c r="H66" s="13">
        <f>Master!B154</f>
        <v>0</v>
      </c>
    </row>
    <row r="67" spans="2:16" x14ac:dyDescent="0.2">
      <c r="B67" s="30" t="str">
        <f>Master!A139&amp;" Field"</f>
        <v>Z573 Field</v>
      </c>
      <c r="C67" s="31" t="str">
        <f>Master!A139&amp;" Panel"</f>
        <v>Z573 Panel</v>
      </c>
      <c r="D67" s="62">
        <f>Master!B139</f>
        <v>0</v>
      </c>
      <c r="F67" s="5" t="str">
        <f>Master!A155&amp;" Field"</f>
        <v>Z589 Field</v>
      </c>
      <c r="G67" s="5" t="str">
        <f>Master!A155&amp;" Panel"</f>
        <v>Z589 Panel</v>
      </c>
      <c r="H67" s="13">
        <f>Master!B155</f>
        <v>0</v>
      </c>
    </row>
    <row r="68" spans="2:16" x14ac:dyDescent="0.2">
      <c r="B68" s="33" t="str">
        <f>Master!A140&amp;" Field"</f>
        <v>Z574 Field</v>
      </c>
      <c r="C68" s="34" t="str">
        <f>Master!A140&amp;" Panel"</f>
        <v>Z574 Panel</v>
      </c>
      <c r="D68" s="61">
        <f>Master!B140</f>
        <v>0</v>
      </c>
      <c r="F68" s="5" t="str">
        <f>Master!A156&amp;" Field"</f>
        <v>Z590 Field</v>
      </c>
      <c r="G68" s="5" t="str">
        <f>Master!A156&amp;" Panel"</f>
        <v>Z590 Panel</v>
      </c>
      <c r="H68" s="13">
        <f>Master!B156</f>
        <v>0</v>
      </c>
    </row>
    <row r="69" spans="2:16" x14ac:dyDescent="0.2">
      <c r="B69" s="30" t="str">
        <f>Master!A141&amp;" Field"</f>
        <v>Z575 Field</v>
      </c>
      <c r="C69" s="31" t="str">
        <f>Master!A141&amp;" Panel"</f>
        <v>Z575 Panel</v>
      </c>
      <c r="D69" s="65">
        <f>Master!B141</f>
        <v>0</v>
      </c>
      <c r="F69" s="5" t="str">
        <f>Master!A157&amp;" Field"</f>
        <v>Z591 Field</v>
      </c>
      <c r="G69" s="5" t="str">
        <f>Master!A157&amp;" Panel"</f>
        <v>Z591 Panel</v>
      </c>
      <c r="H69" s="13">
        <f>Master!B157</f>
        <v>0</v>
      </c>
    </row>
    <row r="70" spans="2:16" x14ac:dyDescent="0.2">
      <c r="B70" s="33" t="str">
        <f>Master!A142&amp;" Field"</f>
        <v>Z576 Field</v>
      </c>
      <c r="C70" s="34" t="str">
        <f>Master!A142&amp;" Panel"</f>
        <v>Z576 Panel</v>
      </c>
      <c r="D70" s="61">
        <f>Master!B142</f>
        <v>0</v>
      </c>
      <c r="F70" s="5" t="str">
        <f>Master!A158&amp;" Field"</f>
        <v>Z592 Field</v>
      </c>
      <c r="G70" s="5" t="str">
        <f>Master!A158&amp;" Panel"</f>
        <v>Z592 Panel</v>
      </c>
      <c r="H70" s="13">
        <f>Master!B158</f>
        <v>0</v>
      </c>
    </row>
    <row r="71" spans="2:16" x14ac:dyDescent="0.2">
      <c r="B71" s="30" t="str">
        <f>Master!A143&amp;" Field"</f>
        <v>Z577 Field</v>
      </c>
      <c r="C71" s="31" t="str">
        <f>Master!A143&amp;" Panel"</f>
        <v>Z577 Panel</v>
      </c>
      <c r="D71" s="65">
        <f>Master!B143</f>
        <v>0</v>
      </c>
      <c r="F71" s="5" t="str">
        <f>Master!A159&amp;" Field"</f>
        <v>Z593 Field</v>
      </c>
      <c r="G71" s="5" t="str">
        <f>Master!A159&amp;" Panel"</f>
        <v>Z593 Panel</v>
      </c>
      <c r="H71" s="13">
        <f>Master!B159</f>
        <v>0</v>
      </c>
    </row>
    <row r="72" spans="2:16" x14ac:dyDescent="0.2">
      <c r="B72" s="33" t="str">
        <f>Master!A144&amp;" Field"</f>
        <v>Z578 Field</v>
      </c>
      <c r="C72" s="34" t="str">
        <f>Master!A144&amp;" Panel"</f>
        <v>Z578 Panel</v>
      </c>
      <c r="D72" s="61">
        <f>Master!B144</f>
        <v>0</v>
      </c>
      <c r="F72" s="5" t="str">
        <f>Master!A160&amp;" Field"</f>
        <v>Z594 Field</v>
      </c>
      <c r="G72" s="5" t="str">
        <f>Master!A160&amp;" Panel"</f>
        <v>Z594 Panel</v>
      </c>
      <c r="H72" s="13">
        <f>Master!B160</f>
        <v>0</v>
      </c>
    </row>
    <row r="73" spans="2:16" x14ac:dyDescent="0.2">
      <c r="B73" s="30" t="str">
        <f>Master!A145&amp;" Field"</f>
        <v>Z579 Field</v>
      </c>
      <c r="C73" s="31" t="str">
        <f>Master!A145&amp;" Panel"</f>
        <v>Z579 Panel</v>
      </c>
      <c r="D73" s="65" t="str">
        <f>Master!B145</f>
        <v>PS-5: A/C LOSS</v>
      </c>
      <c r="F73" s="5" t="str">
        <f>Master!A161&amp;" Field"</f>
        <v>Z595 Field</v>
      </c>
      <c r="G73" s="5" t="str">
        <f>Master!A161&amp;" Panel"</f>
        <v>Z595 Panel</v>
      </c>
      <c r="H73" s="13" t="str">
        <f>Master!B161</f>
        <v>PS-6: A/C LOSS</v>
      </c>
    </row>
    <row r="74" spans="2:16" x14ac:dyDescent="0.2">
      <c r="B74" s="33" t="str">
        <f>Master!A146&amp;" Field"</f>
        <v>Z580 Field</v>
      </c>
      <c r="C74" s="34" t="str">
        <f>Master!A146&amp;" Panel"</f>
        <v>Z580 Panel</v>
      </c>
      <c r="D74" s="66" t="str">
        <f>Master!B146</f>
        <v>PS-5: BATT. TRBL.</v>
      </c>
      <c r="F74" s="5" t="str">
        <f>Master!A162&amp;" Field"</f>
        <v>Z596 Field</v>
      </c>
      <c r="G74" s="5" t="str">
        <f>Master!A162&amp;" Panel"</f>
        <v>Z596 Panel</v>
      </c>
      <c r="H74" s="13" t="str">
        <f>Master!B162</f>
        <v>PS-6: BATT. TRBL.</v>
      </c>
    </row>
    <row r="75" spans="2:16" ht="16" customHeight="1" thickBot="1" x14ac:dyDescent="0.25">
      <c r="B75" s="35" t="s">
        <v>640</v>
      </c>
      <c r="C75" s="36" t="s">
        <v>649</v>
      </c>
      <c r="D75" s="67" t="s">
        <v>650</v>
      </c>
      <c r="F75" s="5" t="s">
        <v>640</v>
      </c>
      <c r="G75" s="5" t="s">
        <v>651</v>
      </c>
      <c r="H75" s="13" t="s">
        <v>652</v>
      </c>
    </row>
    <row r="76" spans="2:16" ht="16" customHeight="1" thickBot="1" x14ac:dyDescent="0.25">
      <c r="B76" s="23"/>
      <c r="C76" s="23"/>
      <c r="D76" s="23"/>
    </row>
    <row r="77" spans="2:16" ht="19" customHeight="1" x14ac:dyDescent="0.2">
      <c r="B77" s="99" t="str">
        <f>Header!B3</f>
        <v>[SCHOOL NAME]</v>
      </c>
      <c r="C77" s="90"/>
      <c r="D77" s="91"/>
      <c r="E77" s="23"/>
      <c r="F77" s="99" t="str">
        <f>Header!B3</f>
        <v>[SCHOOL NAME]</v>
      </c>
      <c r="G77" s="90"/>
      <c r="H77" s="91"/>
      <c r="I77" s="23"/>
      <c r="J77" s="23"/>
      <c r="K77" s="23"/>
      <c r="L77" s="23"/>
      <c r="M77" s="23"/>
      <c r="N77" s="23"/>
      <c r="O77" s="23"/>
      <c r="P77" s="23"/>
    </row>
    <row r="78" spans="2:16" ht="19" customHeight="1" x14ac:dyDescent="0.2">
      <c r="B78" s="92" t="str">
        <f>Header!B4</f>
        <v>[ADDRESS]</v>
      </c>
      <c r="C78" s="93"/>
      <c r="D78" s="94"/>
      <c r="E78" s="23"/>
      <c r="F78" s="92" t="str">
        <f>Header!B4</f>
        <v>[ADDRESS]</v>
      </c>
      <c r="G78" s="93"/>
      <c r="H78" s="94"/>
      <c r="I78" s="23"/>
      <c r="J78" s="23"/>
      <c r="K78" s="23"/>
      <c r="L78" s="23"/>
      <c r="M78" s="23"/>
      <c r="N78" s="23"/>
      <c r="O78" s="23"/>
      <c r="P78" s="23"/>
    </row>
    <row r="79" spans="2:16" ht="19" customHeight="1" x14ac:dyDescent="0.2">
      <c r="B79" s="92" t="str">
        <f>Header!B5</f>
        <v>[CITY, STATE ZIP]</v>
      </c>
      <c r="C79" s="93"/>
      <c r="D79" s="94"/>
      <c r="E79" s="23"/>
      <c r="F79" s="92" t="str">
        <f>Header!B5</f>
        <v>[CITY, STATE ZIP]</v>
      </c>
      <c r="G79" s="93"/>
      <c r="H79" s="94"/>
      <c r="I79" s="23"/>
      <c r="J79" s="23"/>
      <c r="K79" s="23"/>
      <c r="L79" s="23"/>
      <c r="M79" s="23"/>
      <c r="N79" s="23"/>
      <c r="O79" s="23"/>
      <c r="P79" s="23"/>
    </row>
    <row r="80" spans="2:16" x14ac:dyDescent="0.2">
      <c r="B80" s="39"/>
      <c r="C80" s="40"/>
      <c r="D80" s="41"/>
      <c r="E80" s="23"/>
      <c r="F80" s="39"/>
      <c r="G80" s="40"/>
      <c r="H80" s="41"/>
      <c r="I80" s="23"/>
      <c r="J80" s="23"/>
      <c r="K80" s="23"/>
      <c r="L80" s="23"/>
      <c r="M80" s="23"/>
      <c r="N80" s="23"/>
      <c r="O80" s="23"/>
      <c r="P80" s="23"/>
    </row>
    <row r="81" spans="2:16" ht="16" customHeight="1" thickBot="1" x14ac:dyDescent="0.25">
      <c r="B81" s="42"/>
      <c r="C81" s="43"/>
      <c r="D81" s="44"/>
      <c r="E81" s="23"/>
      <c r="F81" s="42"/>
      <c r="G81" s="43"/>
      <c r="H81" s="44"/>
      <c r="I81" s="23"/>
      <c r="J81" s="23"/>
      <c r="K81" s="23"/>
      <c r="L81" s="23"/>
      <c r="M81" s="23"/>
      <c r="N81" s="23"/>
      <c r="O81" s="23"/>
      <c r="P81" s="23"/>
    </row>
    <row r="82" spans="2:16" ht="17" customHeight="1" thickBot="1" x14ac:dyDescent="0.25">
      <c r="B82" s="96">
        <f>Master!D167</f>
        <v>0</v>
      </c>
      <c r="C82" s="97"/>
      <c r="D82" s="98"/>
      <c r="E82" s="23"/>
      <c r="F82" s="96">
        <f>Master!D183</f>
        <v>0</v>
      </c>
      <c r="G82" s="97"/>
      <c r="H82" s="98"/>
      <c r="I82" s="23"/>
      <c r="J82" s="23"/>
      <c r="K82" s="23"/>
      <c r="L82" s="23"/>
      <c r="M82" s="23"/>
      <c r="N82" s="23"/>
      <c r="O82" s="23"/>
      <c r="P82" s="23"/>
    </row>
    <row r="83" spans="2:16" ht="17" customHeight="1" thickBot="1" x14ac:dyDescent="0.25">
      <c r="B83" s="45" t="s">
        <v>638</v>
      </c>
      <c r="C83" s="46" t="s">
        <v>639</v>
      </c>
      <c r="D83" s="47" t="s">
        <v>2</v>
      </c>
      <c r="E83" s="23"/>
      <c r="F83" s="51" t="s">
        <v>638</v>
      </c>
      <c r="G83" s="50" t="s">
        <v>639</v>
      </c>
      <c r="H83" s="52" t="s">
        <v>2</v>
      </c>
      <c r="I83" s="23"/>
      <c r="J83" s="23"/>
      <c r="K83" s="23"/>
      <c r="L83" s="23"/>
      <c r="M83" s="23"/>
      <c r="N83" s="23"/>
      <c r="O83" s="23"/>
      <c r="P83" s="23"/>
    </row>
    <row r="84" spans="2:16" x14ac:dyDescent="0.2">
      <c r="B84" s="30" t="str">
        <f>Master!A167&amp;" Field"</f>
        <v>Z601 Field</v>
      </c>
      <c r="C84" s="31" t="str">
        <f>Master!A167&amp;" Panel"</f>
        <v>Z601 Panel</v>
      </c>
      <c r="D84" s="59">
        <f>Master!B167</f>
        <v>0</v>
      </c>
      <c r="E84" s="23"/>
      <c r="F84" s="30" t="str">
        <f>Master!A183&amp;" Field"</f>
        <v>Z617 Field</v>
      </c>
      <c r="G84" s="48" t="str">
        <f>Master!A183&amp;" Panel"</f>
        <v>Z617 Panel</v>
      </c>
      <c r="H84" s="59">
        <f>Master!B183</f>
        <v>0</v>
      </c>
      <c r="I84" s="23"/>
      <c r="J84" s="23"/>
      <c r="K84" s="23"/>
      <c r="L84" s="23"/>
      <c r="M84" s="23"/>
      <c r="N84" s="23"/>
      <c r="O84" s="23"/>
      <c r="P84" s="23"/>
    </row>
    <row r="85" spans="2:16" x14ac:dyDescent="0.2">
      <c r="B85" s="33" t="str">
        <f>Master!A168&amp;" Field"</f>
        <v>Z602 Field</v>
      </c>
      <c r="C85" s="34" t="str">
        <f>Master!A168&amp;" Panel"</f>
        <v>Z602 Panel</v>
      </c>
      <c r="D85" s="61">
        <f>Master!B168</f>
        <v>0</v>
      </c>
      <c r="E85" s="23"/>
      <c r="F85" s="53" t="str">
        <f>Master!A184&amp;" Field"</f>
        <v>Z618 Field</v>
      </c>
      <c r="G85" s="54" t="str">
        <f>Master!A184&amp;" Panel"</f>
        <v>Z618 Panel</v>
      </c>
      <c r="H85" s="61">
        <f>Master!B184</f>
        <v>0</v>
      </c>
      <c r="I85" s="23"/>
      <c r="J85" s="23"/>
      <c r="K85" s="23"/>
      <c r="L85" s="23"/>
      <c r="M85" s="23"/>
      <c r="N85" s="23"/>
      <c r="O85" s="23"/>
      <c r="P85" s="23"/>
    </row>
    <row r="86" spans="2:16" x14ac:dyDescent="0.2">
      <c r="B86" s="30" t="str">
        <f>Master!A169&amp;" Field"</f>
        <v>Z603 Field</v>
      </c>
      <c r="C86" s="31" t="str">
        <f>Master!A169&amp;" Panel"</f>
        <v>Z603 Panel</v>
      </c>
      <c r="D86" s="62">
        <f>Master!B169</f>
        <v>0</v>
      </c>
      <c r="E86" s="23"/>
      <c r="F86" s="55" t="str">
        <f>Master!A185&amp;" Field"</f>
        <v>Z619 Field</v>
      </c>
      <c r="G86" s="49" t="str">
        <f>Master!A185&amp;" Panel"</f>
        <v>Z619 Panel</v>
      </c>
      <c r="H86" s="65">
        <f>Master!B185</f>
        <v>0</v>
      </c>
      <c r="I86" s="23"/>
      <c r="J86" s="23"/>
      <c r="K86" s="23"/>
      <c r="L86" s="23"/>
      <c r="M86" s="23"/>
      <c r="N86" s="23"/>
      <c r="O86" s="23"/>
      <c r="P86" s="23"/>
    </row>
    <row r="87" spans="2:16" x14ac:dyDescent="0.2">
      <c r="B87" s="33" t="str">
        <f>Master!A170&amp;" Field"</f>
        <v>Z604 Field</v>
      </c>
      <c r="C87" s="34" t="str">
        <f>Master!A170&amp;" Panel"</f>
        <v>Z604 Panel</v>
      </c>
      <c r="D87" s="61">
        <f>Master!B170</f>
        <v>0</v>
      </c>
      <c r="E87" s="23"/>
      <c r="F87" s="53" t="str">
        <f>Master!A186&amp;" Field"</f>
        <v>Z620 Field</v>
      </c>
      <c r="G87" s="54" t="str">
        <f>Master!A186&amp;" Panel"</f>
        <v>Z620 Panel</v>
      </c>
      <c r="H87" s="61">
        <f>Master!B186</f>
        <v>0</v>
      </c>
      <c r="I87" s="23"/>
      <c r="J87" s="23"/>
      <c r="K87" s="23"/>
      <c r="L87" s="23"/>
      <c r="M87" s="23"/>
      <c r="N87" s="23"/>
      <c r="O87" s="23"/>
      <c r="P87" s="23"/>
    </row>
    <row r="88" spans="2:16" x14ac:dyDescent="0.2">
      <c r="B88" s="30" t="str">
        <f>Master!A171&amp;" Field"</f>
        <v>Z605 Field</v>
      </c>
      <c r="C88" s="31" t="str">
        <f>Master!A171&amp;" Panel"</f>
        <v>Z605 Panel</v>
      </c>
      <c r="D88" s="62">
        <f>Master!B171</f>
        <v>0</v>
      </c>
      <c r="E88" s="23"/>
      <c r="F88" s="55" t="str">
        <f>Master!A187&amp;" Field"</f>
        <v>Z621 Field</v>
      </c>
      <c r="G88" s="49" t="str">
        <f>Master!A187&amp;" Panel"</f>
        <v>Z621 Panel</v>
      </c>
      <c r="H88" s="65">
        <f>Master!B187</f>
        <v>0</v>
      </c>
      <c r="I88" s="23"/>
      <c r="J88" s="23"/>
      <c r="K88" s="23"/>
      <c r="L88" s="23"/>
      <c r="M88" s="23"/>
      <c r="N88" s="23"/>
      <c r="O88" s="23"/>
      <c r="P88" s="23"/>
    </row>
    <row r="89" spans="2:16" x14ac:dyDescent="0.2">
      <c r="B89" s="33" t="str">
        <f>Master!A172&amp;" Field"</f>
        <v>Z606 Field</v>
      </c>
      <c r="C89" s="34" t="str">
        <f>Master!A172&amp;" Panel"</f>
        <v>Z606 Panel</v>
      </c>
      <c r="D89" s="63">
        <f>Master!B172</f>
        <v>0</v>
      </c>
      <c r="E89" s="23"/>
      <c r="F89" s="53" t="str">
        <f>Master!A188&amp;" Field"</f>
        <v>Z622 Field</v>
      </c>
      <c r="G89" s="54" t="str">
        <f>Master!A188&amp;" Panel"</f>
        <v>Z622 Panel</v>
      </c>
      <c r="H89" s="61">
        <f>Master!B188</f>
        <v>0</v>
      </c>
      <c r="I89" s="23"/>
      <c r="J89" s="23"/>
      <c r="K89" s="23"/>
      <c r="L89" s="23"/>
      <c r="M89" s="23"/>
      <c r="N89" s="23"/>
      <c r="O89" s="23"/>
      <c r="P89" s="23"/>
    </row>
    <row r="90" spans="2:16" x14ac:dyDescent="0.2">
      <c r="B90" s="30" t="str">
        <f>Master!A173&amp;" Field"</f>
        <v>Z607 Field</v>
      </c>
      <c r="C90" s="31" t="str">
        <f>Master!A173&amp;" Panel"</f>
        <v>Z607 Panel</v>
      </c>
      <c r="D90" s="65">
        <f>Master!B173</f>
        <v>0</v>
      </c>
      <c r="E90" s="23"/>
      <c r="F90" s="55" t="str">
        <f>Master!A189&amp;" Field"</f>
        <v>Z623 Field</v>
      </c>
      <c r="G90" s="49" t="str">
        <f>Master!A189&amp;" Panel"</f>
        <v>Z623 Panel</v>
      </c>
      <c r="H90" s="65">
        <f>Master!B189</f>
        <v>0</v>
      </c>
      <c r="I90" s="23"/>
      <c r="J90" s="23"/>
      <c r="K90" s="23"/>
      <c r="L90" s="23"/>
      <c r="M90" s="23"/>
      <c r="N90" s="23"/>
      <c r="O90" s="23"/>
      <c r="P90" s="23"/>
    </row>
    <row r="91" spans="2:16" x14ac:dyDescent="0.2">
      <c r="B91" s="33" t="str">
        <f>Master!A174&amp;" Field"</f>
        <v>Z608 Field</v>
      </c>
      <c r="C91" s="34" t="str">
        <f>Master!A174&amp;" Panel"</f>
        <v>Z608 Panel</v>
      </c>
      <c r="D91" s="61">
        <f>Master!B174</f>
        <v>0</v>
      </c>
      <c r="E91" s="23"/>
      <c r="F91" s="53" t="str">
        <f>Master!A190&amp;" Field"</f>
        <v>Z624 Field</v>
      </c>
      <c r="G91" s="54" t="str">
        <f>Master!A190&amp;" Panel"</f>
        <v>Z624 Panel</v>
      </c>
      <c r="H91" s="61">
        <f>Master!B190</f>
        <v>0</v>
      </c>
      <c r="I91" s="23"/>
      <c r="J91" s="23"/>
      <c r="K91" s="23"/>
      <c r="L91" s="23"/>
      <c r="M91" s="23"/>
      <c r="N91" s="23"/>
      <c r="O91" s="23"/>
      <c r="P91" s="23"/>
    </row>
    <row r="92" spans="2:16" x14ac:dyDescent="0.2">
      <c r="B92" s="30" t="str">
        <f>Master!A175&amp;" Field"</f>
        <v>Z609 Field</v>
      </c>
      <c r="C92" s="31" t="str">
        <f>Master!A175&amp;" Panel"</f>
        <v>Z609 Panel</v>
      </c>
      <c r="D92" s="62">
        <f>Master!B175</f>
        <v>0</v>
      </c>
      <c r="E92" s="23"/>
      <c r="F92" s="55" t="str">
        <f>Master!A191&amp;" Field"</f>
        <v>Z625 Field</v>
      </c>
      <c r="G92" s="49" t="str">
        <f>Master!A191&amp;" Panel"</f>
        <v>Z625 Panel</v>
      </c>
      <c r="H92" s="65">
        <f>Master!B191</f>
        <v>0</v>
      </c>
      <c r="I92" s="23"/>
      <c r="J92" s="23"/>
      <c r="K92" s="23"/>
      <c r="L92" s="23"/>
      <c r="M92" s="23"/>
      <c r="N92" s="23"/>
      <c r="O92" s="23"/>
      <c r="P92" s="23"/>
    </row>
    <row r="93" spans="2:16" x14ac:dyDescent="0.2">
      <c r="B93" s="33" t="str">
        <f>Master!A176&amp;" Field"</f>
        <v>Z610 Field</v>
      </c>
      <c r="C93" s="34" t="str">
        <f>Master!A176&amp;" Panel"</f>
        <v>Z610 Panel</v>
      </c>
      <c r="D93" s="61">
        <f>Master!B176</f>
        <v>0</v>
      </c>
      <c r="E93" s="23"/>
      <c r="F93" s="53" t="str">
        <f>Master!A192&amp;" Field"</f>
        <v>Z626 Field</v>
      </c>
      <c r="G93" s="54" t="str">
        <f>Master!A192&amp;" Panel"</f>
        <v>Z626 Panel</v>
      </c>
      <c r="H93" s="61">
        <f>Master!B192</f>
        <v>0</v>
      </c>
      <c r="I93" s="23"/>
      <c r="J93" s="23"/>
      <c r="K93" s="23"/>
      <c r="L93" s="23"/>
      <c r="M93" s="23"/>
      <c r="N93" s="23"/>
      <c r="O93" s="23"/>
      <c r="P93" s="23"/>
    </row>
    <row r="94" spans="2:16" x14ac:dyDescent="0.2">
      <c r="B94" s="30" t="str">
        <f>Master!A177&amp;" Field"</f>
        <v>Z611 Field</v>
      </c>
      <c r="C94" s="31" t="str">
        <f>Master!A177&amp;" Panel"</f>
        <v>Z611 Panel</v>
      </c>
      <c r="D94" s="65">
        <f>Master!B177</f>
        <v>0</v>
      </c>
      <c r="E94" s="23"/>
      <c r="F94" s="55" t="str">
        <f>Master!A193&amp;" Field"</f>
        <v>Z627 Field</v>
      </c>
      <c r="G94" s="49" t="str">
        <f>Master!A193&amp;" Panel"</f>
        <v>Z627 Panel</v>
      </c>
      <c r="H94" s="68">
        <f>Master!B193</f>
        <v>0</v>
      </c>
      <c r="I94" s="23"/>
      <c r="J94" s="23"/>
      <c r="K94" s="23"/>
      <c r="L94" s="23"/>
      <c r="M94" s="23"/>
      <c r="N94" s="23"/>
      <c r="O94" s="23"/>
      <c r="P94" s="23"/>
    </row>
    <row r="95" spans="2:16" x14ac:dyDescent="0.2">
      <c r="B95" s="33" t="str">
        <f>Master!A178&amp;" Field"</f>
        <v>Z612 Field</v>
      </c>
      <c r="C95" s="34" t="str">
        <f>Master!A178&amp;" Panel"</f>
        <v>Z612 Panel</v>
      </c>
      <c r="D95" s="66">
        <f>Master!B178</f>
        <v>0</v>
      </c>
      <c r="E95" s="23"/>
      <c r="F95" s="53" t="str">
        <f>Master!A194&amp;" Field"</f>
        <v>Z628 Field</v>
      </c>
      <c r="G95" s="54" t="str">
        <f>Master!A194&amp;" Panel"</f>
        <v>Z628 Panel</v>
      </c>
      <c r="H95" s="63">
        <f>Master!B194</f>
        <v>0</v>
      </c>
      <c r="I95" s="23"/>
      <c r="J95" s="23"/>
      <c r="K95" s="23"/>
      <c r="L95" s="23"/>
      <c r="M95" s="23"/>
      <c r="N95" s="23"/>
      <c r="O95" s="23"/>
      <c r="P95" s="23"/>
    </row>
    <row r="96" spans="2:16" x14ac:dyDescent="0.2">
      <c r="B96" s="30" t="str">
        <f>Master!A179&amp;" Field"</f>
        <v>Z613 Field</v>
      </c>
      <c r="C96" s="31" t="str">
        <f>Master!A179&amp;" Panel"</f>
        <v>Z613 Panel</v>
      </c>
      <c r="D96" s="65">
        <f>Master!B179</f>
        <v>0</v>
      </c>
      <c r="E96" s="23"/>
      <c r="F96" s="55" t="str">
        <f>Master!A195&amp;" Field"</f>
        <v>Z629 Field</v>
      </c>
      <c r="G96" s="49" t="str">
        <f>Master!A195&amp;" Panel"</f>
        <v>Z629 Panel</v>
      </c>
      <c r="H96" s="64">
        <f>Master!B195</f>
        <v>0</v>
      </c>
      <c r="I96" s="23"/>
      <c r="J96" s="23"/>
      <c r="K96" s="23"/>
      <c r="L96" s="23"/>
      <c r="M96" s="23"/>
      <c r="N96" s="23"/>
      <c r="O96" s="23"/>
      <c r="P96" s="23"/>
    </row>
    <row r="97" spans="2:16" x14ac:dyDescent="0.2">
      <c r="B97" s="33" t="str">
        <f>Master!A180&amp;" Field"</f>
        <v>Z614 Field</v>
      </c>
      <c r="C97" s="34" t="str">
        <f>Master!A180&amp;" Panel"</f>
        <v>Z614 Panel</v>
      </c>
      <c r="D97" s="61">
        <f>Master!B180</f>
        <v>0</v>
      </c>
      <c r="E97" s="23"/>
      <c r="F97" s="53" t="str">
        <f>Master!A196&amp;" Field"</f>
        <v>Z630 Field</v>
      </c>
      <c r="G97" s="54" t="str">
        <f>Master!A196&amp;" Panel"</f>
        <v>Z630 Panel</v>
      </c>
      <c r="H97" s="63">
        <f>Master!B196</f>
        <v>0</v>
      </c>
      <c r="I97" s="23"/>
      <c r="J97" s="23"/>
      <c r="K97" s="23"/>
      <c r="L97" s="23"/>
      <c r="M97" s="23"/>
      <c r="N97" s="23"/>
      <c r="O97" s="23"/>
      <c r="P97" s="23"/>
    </row>
    <row r="98" spans="2:16" x14ac:dyDescent="0.2">
      <c r="B98" s="30" t="str">
        <f>Master!A181&amp;" Field"</f>
        <v>Z615 Field</v>
      </c>
      <c r="C98" s="31" t="str">
        <f>Master!A181&amp;" Panel"</f>
        <v>Z615 Panel</v>
      </c>
      <c r="D98" s="60" t="str">
        <f>Master!B181</f>
        <v>PS-7: A/C LOSS</v>
      </c>
      <c r="E98" s="23"/>
      <c r="F98" s="55" t="str">
        <f>Master!A197&amp;" Field"</f>
        <v>Z631 Field</v>
      </c>
      <c r="G98" s="49" t="str">
        <f>Master!A197&amp;" Panel"</f>
        <v>Z631 Panel</v>
      </c>
      <c r="H98" s="65" t="str">
        <f>Master!B197</f>
        <v>PS-8: A/C LOSS</v>
      </c>
      <c r="I98" s="23"/>
      <c r="J98" s="23"/>
      <c r="K98" s="23"/>
      <c r="L98" s="23"/>
      <c r="M98" s="23"/>
      <c r="N98" s="23"/>
      <c r="O98" s="23"/>
      <c r="P98" s="23"/>
    </row>
    <row r="99" spans="2:16" x14ac:dyDescent="0.2">
      <c r="B99" s="33" t="str">
        <f>Master!A182&amp;" Field"</f>
        <v>Z616 Field</v>
      </c>
      <c r="C99" s="34" t="str">
        <f>Master!A182&amp;" Panel"</f>
        <v>Z616 Panel</v>
      </c>
      <c r="D99" s="66" t="str">
        <f>Master!B182</f>
        <v>PS-7: BATT. TRBL.</v>
      </c>
      <c r="E99" s="23"/>
      <c r="F99" s="53" t="str">
        <f>Master!A198&amp;" Field"</f>
        <v>Z632 Field</v>
      </c>
      <c r="G99" s="54" t="str">
        <f>Master!A198&amp;" Panel"</f>
        <v>Z632 Panel</v>
      </c>
      <c r="H99" s="61" t="str">
        <f>Master!B198</f>
        <v>PS-8: BATT. TRBL.</v>
      </c>
      <c r="I99" s="23"/>
      <c r="J99" s="23"/>
      <c r="K99" s="23"/>
      <c r="L99" s="23"/>
      <c r="M99" s="23"/>
      <c r="N99" s="23"/>
      <c r="O99" s="23"/>
      <c r="P99" s="23"/>
    </row>
    <row r="100" spans="2:16" ht="16" customHeight="1" thickBot="1" x14ac:dyDescent="0.25">
      <c r="B100" s="35" t="s">
        <v>640</v>
      </c>
      <c r="C100" s="36" t="s">
        <v>653</v>
      </c>
      <c r="D100" s="67" t="s">
        <v>654</v>
      </c>
      <c r="E100" s="23"/>
      <c r="F100" s="56" t="s">
        <v>640</v>
      </c>
      <c r="G100" s="57" t="s">
        <v>655</v>
      </c>
      <c r="H100" s="69" t="s">
        <v>656</v>
      </c>
      <c r="I100" s="23"/>
      <c r="J100" s="23"/>
      <c r="K100" s="23"/>
      <c r="L100" s="23"/>
      <c r="M100" s="23"/>
      <c r="N100" s="23"/>
      <c r="O100" s="23"/>
      <c r="P100" s="23"/>
    </row>
    <row r="101" spans="2:16" ht="16" customHeight="1" thickBot="1" x14ac:dyDescent="0.25">
      <c r="B101" s="23"/>
      <c r="C101" s="23"/>
      <c r="D101" s="23"/>
    </row>
    <row r="102" spans="2:16" ht="19" customHeight="1" x14ac:dyDescent="0.2">
      <c r="B102" s="99" t="str">
        <f>Header!B3</f>
        <v>[SCHOOL NAME]</v>
      </c>
      <c r="C102" s="90"/>
      <c r="D102" s="91"/>
      <c r="E102" s="23"/>
      <c r="F102" s="99" t="str">
        <f>Header!B3</f>
        <v>[SCHOOL NAME]</v>
      </c>
      <c r="G102" s="90"/>
      <c r="H102" s="91"/>
      <c r="I102" s="23"/>
      <c r="J102" s="23"/>
      <c r="K102" s="23"/>
      <c r="L102" s="23"/>
      <c r="M102" s="23"/>
      <c r="N102" s="23"/>
      <c r="O102" s="23"/>
      <c r="P102" s="23"/>
    </row>
    <row r="103" spans="2:16" ht="19" customHeight="1" x14ac:dyDescent="0.2">
      <c r="B103" s="92" t="str">
        <f>Header!B4</f>
        <v>[ADDRESS]</v>
      </c>
      <c r="C103" s="93"/>
      <c r="D103" s="94"/>
      <c r="E103" s="23"/>
      <c r="F103" s="92" t="str">
        <f>Header!B4</f>
        <v>[ADDRESS]</v>
      </c>
      <c r="G103" s="93"/>
      <c r="H103" s="94"/>
      <c r="I103" s="23"/>
      <c r="J103" s="23"/>
      <c r="K103" s="23"/>
      <c r="L103" s="23"/>
      <c r="M103" s="23"/>
      <c r="N103" s="23"/>
      <c r="O103" s="23"/>
      <c r="P103" s="23"/>
    </row>
    <row r="104" spans="2:16" ht="19" customHeight="1" x14ac:dyDescent="0.2">
      <c r="B104" s="92" t="str">
        <f>Header!B5</f>
        <v>[CITY, STATE ZIP]</v>
      </c>
      <c r="C104" s="93"/>
      <c r="D104" s="94"/>
      <c r="E104" s="23"/>
      <c r="F104" s="92" t="str">
        <f>Header!B5</f>
        <v>[CITY, STATE ZIP]</v>
      </c>
      <c r="G104" s="93"/>
      <c r="H104" s="94"/>
      <c r="I104" s="23"/>
      <c r="J104" s="23"/>
      <c r="K104" s="23"/>
      <c r="L104" s="23"/>
      <c r="M104" s="23"/>
      <c r="N104" s="23"/>
      <c r="O104" s="23"/>
      <c r="P104" s="23"/>
    </row>
    <row r="105" spans="2:16" x14ac:dyDescent="0.2">
      <c r="B105" s="39"/>
      <c r="C105" s="40"/>
      <c r="D105" s="41"/>
      <c r="E105" s="23"/>
      <c r="F105" s="39"/>
      <c r="G105" s="40"/>
      <c r="H105" s="41"/>
      <c r="I105" s="23"/>
      <c r="J105" s="23"/>
      <c r="K105" s="23"/>
      <c r="L105" s="23"/>
      <c r="M105" s="23"/>
      <c r="N105" s="23"/>
      <c r="O105" s="23"/>
      <c r="P105" s="23"/>
    </row>
    <row r="106" spans="2:16" ht="16" customHeight="1" thickBot="1" x14ac:dyDescent="0.25">
      <c r="B106" s="42"/>
      <c r="C106" s="43"/>
      <c r="D106" s="44"/>
      <c r="E106" s="23"/>
      <c r="F106" s="42"/>
      <c r="G106" s="43"/>
      <c r="H106" s="44"/>
      <c r="I106" s="23"/>
      <c r="J106" s="23"/>
      <c r="K106" s="23"/>
      <c r="L106" s="23"/>
      <c r="M106" s="23"/>
      <c r="N106" s="23"/>
      <c r="O106" s="23"/>
      <c r="P106" s="23"/>
    </row>
    <row r="107" spans="2:16" ht="17" customHeight="1" thickBot="1" x14ac:dyDescent="0.25">
      <c r="B107" s="96">
        <f>Master!D199</f>
        <v>0</v>
      </c>
      <c r="C107" s="97"/>
      <c r="D107" s="98"/>
      <c r="E107" s="23"/>
      <c r="F107" s="96">
        <f>Master!D215</f>
        <v>0</v>
      </c>
      <c r="G107" s="97"/>
      <c r="H107" s="98"/>
      <c r="I107" s="23"/>
      <c r="J107" s="23"/>
      <c r="K107" s="23"/>
      <c r="L107" s="23"/>
      <c r="M107" s="23"/>
      <c r="N107" s="23"/>
      <c r="O107" s="23"/>
      <c r="P107" s="23"/>
    </row>
    <row r="108" spans="2:16" ht="17" customHeight="1" thickBot="1" x14ac:dyDescent="0.25">
      <c r="B108" s="45" t="s">
        <v>638</v>
      </c>
      <c r="C108" s="46" t="s">
        <v>639</v>
      </c>
      <c r="D108" s="47" t="s">
        <v>2</v>
      </c>
      <c r="E108" s="23"/>
      <c r="F108" s="51" t="s">
        <v>638</v>
      </c>
      <c r="G108" s="50" t="s">
        <v>639</v>
      </c>
      <c r="H108" s="52" t="s">
        <v>2</v>
      </c>
      <c r="I108" s="23"/>
      <c r="J108" s="23"/>
      <c r="K108" s="23"/>
      <c r="L108" s="23"/>
      <c r="M108" s="23"/>
      <c r="N108" s="23"/>
      <c r="O108" s="23"/>
      <c r="P108" s="23"/>
    </row>
    <row r="109" spans="2:16" x14ac:dyDescent="0.2">
      <c r="B109" s="30" t="str">
        <f>Master!A199&amp;" Field"</f>
        <v>Z633 Field</v>
      </c>
      <c r="C109" s="31" t="str">
        <f>Master!A199&amp;" Panel"</f>
        <v>Z633 Panel</v>
      </c>
      <c r="D109" s="70">
        <f>Master!B199</f>
        <v>0</v>
      </c>
      <c r="E109" s="23"/>
      <c r="F109" s="30" t="str">
        <f>Master!A215&amp;" Field"</f>
        <v>Z649 Field</v>
      </c>
      <c r="G109" s="48" t="str">
        <f>Master!A215&amp;" Panel"</f>
        <v>Z649 Panel</v>
      </c>
      <c r="H109" s="72">
        <f>Master!B215</f>
        <v>0</v>
      </c>
      <c r="I109" s="23"/>
      <c r="J109" s="23"/>
      <c r="K109" s="23"/>
      <c r="L109" s="23"/>
      <c r="M109" s="23"/>
      <c r="N109" s="23"/>
      <c r="O109" s="23"/>
      <c r="P109" s="23"/>
    </row>
    <row r="110" spans="2:16" x14ac:dyDescent="0.2">
      <c r="B110" s="33" t="str">
        <f>Master!A200&amp;" Field"</f>
        <v>Z634 Field</v>
      </c>
      <c r="C110" s="34" t="str">
        <f>Master!A200&amp;" Panel"</f>
        <v>Z634 Panel</v>
      </c>
      <c r="D110" s="61">
        <f>Master!B200</f>
        <v>0</v>
      </c>
      <c r="E110" s="23"/>
      <c r="F110" s="53" t="str">
        <f>Master!A216&amp;" Field"</f>
        <v>Z650 Field</v>
      </c>
      <c r="G110" s="54" t="str">
        <f>Master!A216&amp;" Panel"</f>
        <v>Z650 Panel</v>
      </c>
      <c r="H110" s="61">
        <f>Master!B216</f>
        <v>0</v>
      </c>
      <c r="I110" s="23"/>
      <c r="J110" s="23"/>
      <c r="K110" s="23"/>
      <c r="L110" s="23"/>
      <c r="M110" s="23"/>
      <c r="N110" s="23"/>
      <c r="O110" s="23"/>
      <c r="P110" s="23"/>
    </row>
    <row r="111" spans="2:16" x14ac:dyDescent="0.2">
      <c r="B111" s="30" t="str">
        <f>Master!A201&amp;" Field"</f>
        <v>Z635 Field</v>
      </c>
      <c r="C111" s="31" t="str">
        <f>Master!A201&amp;" Panel"</f>
        <v>Z635 Panel</v>
      </c>
      <c r="D111" s="62">
        <f>Master!B201</f>
        <v>0</v>
      </c>
      <c r="E111" s="23"/>
      <c r="F111" s="55" t="str">
        <f>Master!A217&amp;" Field"</f>
        <v>Z651 Field</v>
      </c>
      <c r="G111" s="49" t="str">
        <f>Master!A217&amp;" Panel"</f>
        <v>Z651 Panel</v>
      </c>
      <c r="H111" s="68">
        <f>Master!B217</f>
        <v>0</v>
      </c>
      <c r="I111" s="23"/>
      <c r="J111" s="23"/>
      <c r="K111" s="23"/>
      <c r="L111" s="23"/>
      <c r="M111" s="23"/>
      <c r="N111" s="23"/>
      <c r="O111" s="23"/>
      <c r="P111" s="23"/>
    </row>
    <row r="112" spans="2:16" x14ac:dyDescent="0.2">
      <c r="B112" s="33" t="str">
        <f>Master!A202&amp;" Field"</f>
        <v>Z636 Field</v>
      </c>
      <c r="C112" s="34" t="str">
        <f>Master!A202&amp;" Panel"</f>
        <v>Z636 Panel</v>
      </c>
      <c r="D112" s="63">
        <f>Master!B202</f>
        <v>0</v>
      </c>
      <c r="E112" s="23"/>
      <c r="F112" s="53" t="str">
        <f>Master!A218&amp;" Field"</f>
        <v>Z652 Field</v>
      </c>
      <c r="G112" s="54" t="str">
        <f>Master!A218&amp;" Panel"</f>
        <v>Z652 Panel</v>
      </c>
      <c r="H112" s="61">
        <f>Master!B218</f>
        <v>0</v>
      </c>
      <c r="I112" s="23"/>
      <c r="J112" s="23"/>
      <c r="K112" s="23"/>
      <c r="L112" s="23"/>
      <c r="M112" s="23"/>
      <c r="N112" s="23"/>
      <c r="O112" s="23"/>
      <c r="P112" s="23"/>
    </row>
    <row r="113" spans="2:16" x14ac:dyDescent="0.2">
      <c r="B113" s="30" t="str">
        <f>Master!A203&amp;" Field"</f>
        <v>Z637 Field</v>
      </c>
      <c r="C113" s="31" t="str">
        <f>Master!A203&amp;" Panel"</f>
        <v>Z637 Panel</v>
      </c>
      <c r="D113" s="64">
        <f>Master!B203</f>
        <v>0</v>
      </c>
      <c r="E113" s="23"/>
      <c r="F113" s="55" t="str">
        <f>Master!A219&amp;" Field"</f>
        <v>Z653 Field</v>
      </c>
      <c r="G113" s="49" t="str">
        <f>Master!A219&amp;" Panel"</f>
        <v>Z653 Panel</v>
      </c>
      <c r="H113" s="65">
        <f>Master!B219</f>
        <v>0</v>
      </c>
      <c r="I113" s="23"/>
      <c r="J113" s="23"/>
      <c r="K113" s="23"/>
      <c r="L113" s="23"/>
      <c r="M113" s="23"/>
      <c r="N113" s="23"/>
      <c r="O113" s="23"/>
      <c r="P113" s="23"/>
    </row>
    <row r="114" spans="2:16" x14ac:dyDescent="0.2">
      <c r="B114" s="33" t="str">
        <f>Master!A204&amp;" Field"</f>
        <v>Z638 Field</v>
      </c>
      <c r="C114" s="34" t="str">
        <f>Master!A204&amp;" Panel"</f>
        <v>Z638 Panel</v>
      </c>
      <c r="D114" s="61">
        <f>Master!B204</f>
        <v>0</v>
      </c>
      <c r="E114" s="23"/>
      <c r="F114" s="53" t="str">
        <f>Master!A220&amp;" Field"</f>
        <v>Z654 Field</v>
      </c>
      <c r="G114" s="54" t="str">
        <f>Master!A220&amp;" Panel"</f>
        <v>Z654 Panel</v>
      </c>
      <c r="H114" s="61">
        <f>Master!B220</f>
        <v>0</v>
      </c>
      <c r="I114" s="23"/>
      <c r="J114" s="23"/>
      <c r="K114" s="23"/>
      <c r="L114" s="23"/>
      <c r="M114" s="23"/>
      <c r="N114" s="23"/>
      <c r="O114" s="23"/>
      <c r="P114" s="23"/>
    </row>
    <row r="115" spans="2:16" x14ac:dyDescent="0.2">
      <c r="B115" s="30" t="str">
        <f>Master!A205&amp;" Field"</f>
        <v>Z639 Field</v>
      </c>
      <c r="C115" s="31" t="str">
        <f>Master!A205&amp;" Panel"</f>
        <v>Z639 Panel</v>
      </c>
      <c r="D115" s="62">
        <f>Master!B205</f>
        <v>0</v>
      </c>
      <c r="E115" s="23"/>
      <c r="F115" s="55" t="str">
        <f>Master!A221&amp;" Field"</f>
        <v>Z655 Field</v>
      </c>
      <c r="G115" s="49" t="str">
        <f>Master!A221&amp;" Panel"</f>
        <v>Z655 Panel</v>
      </c>
      <c r="H115" s="65">
        <f>Master!B221</f>
        <v>0</v>
      </c>
      <c r="I115" s="23"/>
      <c r="J115" s="23"/>
      <c r="K115" s="23"/>
      <c r="L115" s="23"/>
      <c r="M115" s="23"/>
      <c r="N115" s="23"/>
      <c r="O115" s="23"/>
      <c r="P115" s="23"/>
    </row>
    <row r="116" spans="2:16" x14ac:dyDescent="0.2">
      <c r="B116" s="33" t="str">
        <f>Master!A206&amp;" Field"</f>
        <v>Z640 Field</v>
      </c>
      <c r="C116" s="34" t="str">
        <f>Master!A206&amp;" Panel"</f>
        <v>Z640 Panel</v>
      </c>
      <c r="D116" s="63">
        <f>Master!B206</f>
        <v>0</v>
      </c>
      <c r="E116" s="23"/>
      <c r="F116" s="53" t="str">
        <f>Master!A222&amp;" Field"</f>
        <v>Z656 Field</v>
      </c>
      <c r="G116" s="54" t="str">
        <f>Master!A222&amp;" Panel"</f>
        <v>Z656 Panel</v>
      </c>
      <c r="H116" s="61">
        <f>Master!B222</f>
        <v>0</v>
      </c>
      <c r="I116" s="23"/>
      <c r="J116" s="23"/>
      <c r="K116" s="23"/>
      <c r="L116" s="23"/>
      <c r="M116" s="23"/>
      <c r="N116" s="23"/>
      <c r="O116" s="23"/>
      <c r="P116" s="23"/>
    </row>
    <row r="117" spans="2:16" x14ac:dyDescent="0.2">
      <c r="B117" s="30" t="str">
        <f>Master!A207&amp;" Field"</f>
        <v>Z641 Field</v>
      </c>
      <c r="C117" s="31" t="str">
        <f>Master!A207&amp;" Panel"</f>
        <v>Z641 Panel</v>
      </c>
      <c r="D117" s="65">
        <f>Master!B207</f>
        <v>0</v>
      </c>
      <c r="E117" s="23"/>
      <c r="F117" s="55" t="str">
        <f>Master!A223&amp;" Field"</f>
        <v>Z657 Field</v>
      </c>
      <c r="G117" s="49" t="str">
        <f>Master!A223&amp;" Panel"</f>
        <v>Z657 Panel</v>
      </c>
      <c r="H117" s="68">
        <f>Master!B223</f>
        <v>0</v>
      </c>
      <c r="I117" s="23"/>
      <c r="J117" s="23"/>
      <c r="K117" s="23"/>
      <c r="L117" s="23"/>
      <c r="M117" s="23"/>
      <c r="N117" s="23"/>
      <c r="O117" s="23"/>
      <c r="P117" s="23"/>
    </row>
    <row r="118" spans="2:16" x14ac:dyDescent="0.2">
      <c r="B118" s="33" t="str">
        <f>Master!A208&amp;" Field"</f>
        <v>Z642 Field</v>
      </c>
      <c r="C118" s="34" t="str">
        <f>Master!A208&amp;" Panel"</f>
        <v>Z642 Panel</v>
      </c>
      <c r="D118" s="66">
        <f>Master!B208</f>
        <v>0</v>
      </c>
      <c r="E118" s="23"/>
      <c r="F118" s="53" t="str">
        <f>Master!A224&amp;" Field"</f>
        <v>Z658 Field</v>
      </c>
      <c r="G118" s="54" t="str">
        <f>Master!A224&amp;" Panel"</f>
        <v>Z658 Panel</v>
      </c>
      <c r="H118" s="63">
        <f>Master!B224</f>
        <v>0</v>
      </c>
      <c r="I118" s="23"/>
      <c r="J118" s="23"/>
      <c r="K118" s="23"/>
      <c r="L118" s="23"/>
      <c r="M118" s="23"/>
      <c r="N118" s="23"/>
      <c r="O118" s="23"/>
      <c r="P118" s="23"/>
    </row>
    <row r="119" spans="2:16" x14ac:dyDescent="0.2">
      <c r="B119" s="30" t="str">
        <f>Master!A209&amp;" Field"</f>
        <v>Z643 Field</v>
      </c>
      <c r="C119" s="31" t="str">
        <f>Master!A209&amp;" Panel"</f>
        <v>Z643 Panel</v>
      </c>
      <c r="D119" s="64">
        <f>Master!B209</f>
        <v>0</v>
      </c>
      <c r="E119" s="23"/>
      <c r="F119" s="55" t="str">
        <f>Master!A225&amp;" Field"</f>
        <v>Z659 Field</v>
      </c>
      <c r="G119" s="49" t="str">
        <f>Master!A225&amp;" Panel"</f>
        <v>Z659 Panel</v>
      </c>
      <c r="H119" s="65">
        <f>Master!B225</f>
        <v>0</v>
      </c>
      <c r="I119" s="23"/>
      <c r="J119" s="23"/>
      <c r="K119" s="23"/>
      <c r="L119" s="23"/>
      <c r="M119" s="23"/>
      <c r="N119" s="23"/>
      <c r="O119" s="23"/>
      <c r="P119" s="23"/>
    </row>
    <row r="120" spans="2:16" x14ac:dyDescent="0.2">
      <c r="B120" s="33" t="str">
        <f>Master!A210&amp;" Field"</f>
        <v>Z644 Field</v>
      </c>
      <c r="C120" s="34" t="str">
        <f>Master!A210&amp;" Panel"</f>
        <v>Z644 Panel</v>
      </c>
      <c r="D120" s="63">
        <f>Master!B210</f>
        <v>0</v>
      </c>
      <c r="E120" s="23"/>
      <c r="F120" s="53" t="str">
        <f>Master!A226&amp;" Field"</f>
        <v>Z660 Field</v>
      </c>
      <c r="G120" s="54" t="str">
        <f>Master!A226&amp;" Panel"</f>
        <v>Z660 Panel</v>
      </c>
      <c r="H120" s="61">
        <f>Master!B226</f>
        <v>0</v>
      </c>
      <c r="I120" s="23"/>
      <c r="J120" s="23"/>
      <c r="K120" s="23"/>
      <c r="L120" s="23"/>
      <c r="M120" s="23"/>
      <c r="N120" s="23"/>
      <c r="O120" s="23"/>
      <c r="P120" s="23"/>
    </row>
    <row r="121" spans="2:16" x14ac:dyDescent="0.2">
      <c r="B121" s="30" t="str">
        <f>Master!A211&amp;" Field"</f>
        <v>Z645 Field</v>
      </c>
      <c r="C121" s="31" t="str">
        <f>Master!A211&amp;" Panel"</f>
        <v>Z645 Panel</v>
      </c>
      <c r="D121" s="64">
        <f>Master!B211</f>
        <v>0</v>
      </c>
      <c r="E121" s="23"/>
      <c r="F121" s="55" t="str">
        <f>Master!A227&amp;" Field"</f>
        <v>Z661 Field</v>
      </c>
      <c r="G121" s="49" t="str">
        <f>Master!A227&amp;" Panel"</f>
        <v>Z661 Panel</v>
      </c>
      <c r="H121" s="68">
        <f>Master!B227</f>
        <v>0</v>
      </c>
      <c r="I121" s="23"/>
      <c r="J121" s="23"/>
      <c r="K121" s="23"/>
      <c r="L121" s="23"/>
      <c r="M121" s="23"/>
      <c r="N121" s="23"/>
      <c r="O121" s="23"/>
      <c r="P121" s="23"/>
    </row>
    <row r="122" spans="2:16" x14ac:dyDescent="0.2">
      <c r="B122" s="33" t="str">
        <f>Master!A212&amp;" Field"</f>
        <v>Z646 Field</v>
      </c>
      <c r="C122" s="34" t="str">
        <f>Master!A212&amp;" Panel"</f>
        <v>Z646 Panel</v>
      </c>
      <c r="D122" s="63">
        <f>Master!B212</f>
        <v>0</v>
      </c>
      <c r="E122" s="23"/>
      <c r="F122" s="53" t="str">
        <f>Master!A228&amp;" Field"</f>
        <v>Z662 Field</v>
      </c>
      <c r="G122" s="54" t="str">
        <f>Master!A228&amp;" Panel"</f>
        <v>Z662 Panel</v>
      </c>
      <c r="H122" s="61">
        <f>Master!B228</f>
        <v>0</v>
      </c>
      <c r="I122" s="23"/>
      <c r="J122" s="23"/>
      <c r="K122" s="23"/>
      <c r="L122" s="23"/>
      <c r="M122" s="23"/>
      <c r="N122" s="23"/>
      <c r="O122" s="23"/>
      <c r="P122" s="23"/>
    </row>
    <row r="123" spans="2:16" x14ac:dyDescent="0.2">
      <c r="B123" s="30" t="str">
        <f>Master!A213&amp;" Field"</f>
        <v>Z647 Field</v>
      </c>
      <c r="C123" s="31" t="str">
        <f>Master!A213&amp;" Panel"</f>
        <v>Z647 Panel</v>
      </c>
      <c r="D123" s="65" t="str">
        <f>Master!B213</f>
        <v>PS-9: A/C LOSS</v>
      </c>
      <c r="E123" s="23"/>
      <c r="F123" s="55" t="str">
        <f>Master!A229&amp;" Field"</f>
        <v>Z663 Field</v>
      </c>
      <c r="G123" s="49" t="str">
        <f>Master!A229&amp;" Panel"</f>
        <v>Z663 Panel</v>
      </c>
      <c r="H123" s="68" t="str">
        <f>Master!B229</f>
        <v>PS-10: A/C LOSS</v>
      </c>
      <c r="I123" s="23"/>
      <c r="J123" s="23"/>
      <c r="K123" s="23"/>
      <c r="L123" s="23"/>
      <c r="M123" s="23"/>
      <c r="N123" s="23"/>
      <c r="O123" s="23"/>
      <c r="P123" s="23"/>
    </row>
    <row r="124" spans="2:16" x14ac:dyDescent="0.2">
      <c r="B124" s="33" t="str">
        <f>Master!A214&amp;" Field"</f>
        <v>Z648 Field</v>
      </c>
      <c r="C124" s="34" t="str">
        <f>Master!A214&amp;" Panel"</f>
        <v>Z648 Panel</v>
      </c>
      <c r="D124" s="61" t="str">
        <f>Master!B214</f>
        <v>PS-9: BATT. TRBL.</v>
      </c>
      <c r="E124" s="23"/>
      <c r="F124" s="53" t="str">
        <f>Master!A230&amp;" Field"</f>
        <v>Z664 Field</v>
      </c>
      <c r="G124" s="54" t="str">
        <f>Master!A230&amp;" Panel"</f>
        <v>Z664 Panel</v>
      </c>
      <c r="H124" s="61" t="str">
        <f>Master!B230</f>
        <v>PS-10: BATT. TRBL.</v>
      </c>
      <c r="I124" s="23"/>
      <c r="J124" s="23"/>
      <c r="K124" s="23"/>
      <c r="L124" s="23"/>
      <c r="M124" s="23"/>
      <c r="N124" s="23"/>
      <c r="O124" s="23"/>
      <c r="P124" s="23"/>
    </row>
    <row r="125" spans="2:16" ht="16" customHeight="1" thickBot="1" x14ac:dyDescent="0.25">
      <c r="B125" s="35" t="s">
        <v>640</v>
      </c>
      <c r="C125" s="36" t="s">
        <v>657</v>
      </c>
      <c r="D125" s="71" t="s">
        <v>658</v>
      </c>
      <c r="E125" s="23"/>
      <c r="F125" s="56" t="s">
        <v>640</v>
      </c>
      <c r="G125" s="57" t="s">
        <v>659</v>
      </c>
      <c r="H125" s="69" t="s">
        <v>660</v>
      </c>
      <c r="I125" s="23"/>
      <c r="J125" s="23"/>
      <c r="K125" s="23"/>
      <c r="L125" s="23"/>
      <c r="M125" s="23"/>
      <c r="N125" s="23"/>
      <c r="O125" s="23"/>
      <c r="P125" s="23"/>
    </row>
    <row r="126" spans="2:16" ht="16" customHeight="1" thickBot="1" x14ac:dyDescent="0.25">
      <c r="B126" s="23"/>
      <c r="C126" s="23"/>
      <c r="D126" s="23"/>
    </row>
    <row r="127" spans="2:16" ht="19" customHeight="1" x14ac:dyDescent="0.2">
      <c r="B127" s="99" t="str">
        <f>Header!B3</f>
        <v>[SCHOOL NAME]</v>
      </c>
      <c r="C127" s="90"/>
      <c r="D127" s="91"/>
      <c r="E127" s="23"/>
      <c r="F127" s="99" t="str">
        <f>Header!B3</f>
        <v>[SCHOOL NAME]</v>
      </c>
      <c r="G127" s="90"/>
      <c r="H127" s="91"/>
      <c r="I127" s="23"/>
      <c r="J127" s="23"/>
      <c r="K127" s="23"/>
      <c r="L127" s="23"/>
      <c r="M127" s="23"/>
      <c r="N127" s="23"/>
      <c r="O127" s="23"/>
      <c r="P127" s="23"/>
    </row>
    <row r="128" spans="2:16" ht="19" customHeight="1" x14ac:dyDescent="0.2">
      <c r="B128" s="92" t="str">
        <f>Header!B4</f>
        <v>[ADDRESS]</v>
      </c>
      <c r="C128" s="93"/>
      <c r="D128" s="94"/>
      <c r="E128" s="23"/>
      <c r="F128" s="92" t="str">
        <f>Header!B4</f>
        <v>[ADDRESS]</v>
      </c>
      <c r="G128" s="93"/>
      <c r="H128" s="94"/>
      <c r="I128" s="23"/>
      <c r="J128" s="23"/>
      <c r="K128" s="23"/>
      <c r="L128" s="23"/>
      <c r="M128" s="23"/>
      <c r="N128" s="23"/>
      <c r="O128" s="23"/>
      <c r="P128" s="23"/>
    </row>
    <row r="129" spans="2:16" ht="19" customHeight="1" x14ac:dyDescent="0.2">
      <c r="B129" s="92" t="str">
        <f>Header!B5</f>
        <v>[CITY, STATE ZIP]</v>
      </c>
      <c r="C129" s="93"/>
      <c r="D129" s="94"/>
      <c r="E129" s="23"/>
      <c r="F129" s="92" t="str">
        <f>Header!B5</f>
        <v>[CITY, STATE ZIP]</v>
      </c>
      <c r="G129" s="93"/>
      <c r="H129" s="94"/>
      <c r="I129" s="23"/>
      <c r="J129" s="23"/>
      <c r="K129" s="23"/>
      <c r="L129" s="23"/>
      <c r="M129" s="23"/>
      <c r="N129" s="23"/>
      <c r="O129" s="23"/>
      <c r="P129" s="23"/>
    </row>
    <row r="130" spans="2:16" x14ac:dyDescent="0.2">
      <c r="B130" s="39"/>
      <c r="C130" s="40"/>
      <c r="D130" s="41"/>
      <c r="E130" s="23"/>
      <c r="F130" s="39"/>
      <c r="G130" s="40"/>
      <c r="H130" s="41"/>
      <c r="I130" s="23"/>
      <c r="J130" s="23"/>
      <c r="K130" s="23"/>
      <c r="L130" s="23"/>
      <c r="M130" s="23"/>
      <c r="N130" s="23"/>
      <c r="O130" s="23"/>
      <c r="P130" s="23"/>
    </row>
    <row r="131" spans="2:16" ht="16" customHeight="1" thickBot="1" x14ac:dyDescent="0.25">
      <c r="B131" s="42"/>
      <c r="C131" s="43"/>
      <c r="D131" s="44"/>
      <c r="E131" s="23"/>
      <c r="F131" s="42"/>
      <c r="G131" s="43"/>
      <c r="H131" s="44"/>
      <c r="I131" s="23"/>
      <c r="J131" s="23"/>
      <c r="K131" s="23"/>
      <c r="L131" s="23"/>
      <c r="M131" s="23"/>
      <c r="N131" s="23"/>
      <c r="O131" s="23"/>
      <c r="P131" s="23"/>
    </row>
    <row r="132" spans="2:16" ht="17" customHeight="1" thickBot="1" x14ac:dyDescent="0.25">
      <c r="B132" s="96">
        <f>Master!D231</f>
        <v>0</v>
      </c>
      <c r="C132" s="97"/>
      <c r="D132" s="98"/>
      <c r="E132" s="23"/>
      <c r="F132" s="96">
        <f>Master!D247</f>
        <v>0</v>
      </c>
      <c r="G132" s="97"/>
      <c r="H132" s="98"/>
      <c r="I132" s="23"/>
      <c r="J132" s="23"/>
      <c r="K132" s="23"/>
      <c r="L132" s="23"/>
      <c r="M132" s="23"/>
      <c r="N132" s="23"/>
      <c r="O132" s="23"/>
      <c r="P132" s="23"/>
    </row>
    <row r="133" spans="2:16" ht="17" customHeight="1" thickBot="1" x14ac:dyDescent="0.25">
      <c r="B133" s="45" t="s">
        <v>638</v>
      </c>
      <c r="C133" s="46" t="s">
        <v>639</v>
      </c>
      <c r="D133" s="47" t="s">
        <v>2</v>
      </c>
      <c r="E133" s="23"/>
      <c r="F133" s="51" t="s">
        <v>638</v>
      </c>
      <c r="G133" s="50" t="s">
        <v>639</v>
      </c>
      <c r="H133" s="52" t="s">
        <v>2</v>
      </c>
      <c r="I133" s="23"/>
      <c r="J133" s="23"/>
      <c r="K133" s="23"/>
      <c r="L133" s="23"/>
      <c r="M133" s="23"/>
      <c r="N133" s="23"/>
      <c r="O133" s="23"/>
      <c r="P133" s="23"/>
    </row>
    <row r="134" spans="2:16" x14ac:dyDescent="0.2">
      <c r="B134" s="30" t="str">
        <f>Master!A231&amp;" Field"</f>
        <v>Z665 Field</v>
      </c>
      <c r="C134" s="31" t="str">
        <f>Master!A231&amp;" Panel"</f>
        <v>Z665 Panel</v>
      </c>
      <c r="D134" s="59">
        <f>Master!B231</f>
        <v>0</v>
      </c>
      <c r="E134" s="23"/>
      <c r="F134" s="30" t="str">
        <f>Master!A247&amp;" Field"</f>
        <v>Z681 Field</v>
      </c>
      <c r="G134" s="48" t="str">
        <f>Master!A247&amp;" Panel"</f>
        <v>Z681 Panel</v>
      </c>
      <c r="H134" s="72">
        <f>Master!B247</f>
        <v>0</v>
      </c>
      <c r="I134" s="23"/>
      <c r="J134" s="23"/>
      <c r="K134" s="23"/>
      <c r="L134" s="23"/>
      <c r="M134" s="23"/>
      <c r="N134" s="23"/>
      <c r="O134" s="23"/>
      <c r="P134" s="23"/>
    </row>
    <row r="135" spans="2:16" x14ac:dyDescent="0.2">
      <c r="B135" s="33" t="str">
        <f>Master!A232&amp;" Field"</f>
        <v>Z666 Field</v>
      </c>
      <c r="C135" s="34" t="str">
        <f>Master!A232&amp;" Panel"</f>
        <v>Z666 Panel</v>
      </c>
      <c r="D135" s="66">
        <f>Master!B232</f>
        <v>0</v>
      </c>
      <c r="E135" s="23"/>
      <c r="F135" s="53" t="str">
        <f>Master!A248&amp;" Field"</f>
        <v>Z682 Field</v>
      </c>
      <c r="G135" s="54" t="str">
        <f>Master!A248&amp;" Panel"</f>
        <v>Z682 Panel</v>
      </c>
      <c r="H135" s="61">
        <f>Master!B248</f>
        <v>0</v>
      </c>
      <c r="I135" s="23"/>
      <c r="J135" s="23"/>
      <c r="K135" s="23"/>
      <c r="L135" s="23"/>
      <c r="M135" s="23"/>
      <c r="N135" s="23"/>
      <c r="O135" s="23"/>
      <c r="P135" s="23"/>
    </row>
    <row r="136" spans="2:16" x14ac:dyDescent="0.2">
      <c r="B136" s="30" t="str">
        <f>Master!A233&amp;" Field"</f>
        <v>Z667 Field</v>
      </c>
      <c r="C136" s="31" t="str">
        <f>Master!A233&amp;" Panel"</f>
        <v>Z667 Panel</v>
      </c>
      <c r="D136" s="65">
        <f>Master!B233</f>
        <v>0</v>
      </c>
      <c r="E136" s="23"/>
      <c r="F136" s="55" t="str">
        <f>Master!A249&amp;" Field"</f>
        <v>Z683 Field</v>
      </c>
      <c r="G136" s="49" t="str">
        <f>Master!A249&amp;" Panel"</f>
        <v>Z683 Panel</v>
      </c>
      <c r="H136" s="65">
        <f>Master!B249</f>
        <v>0</v>
      </c>
      <c r="I136" s="23"/>
      <c r="J136" s="23"/>
      <c r="K136" s="23"/>
      <c r="L136" s="23"/>
      <c r="M136" s="23"/>
      <c r="N136" s="23"/>
      <c r="O136" s="23"/>
      <c r="P136" s="23"/>
    </row>
    <row r="137" spans="2:16" x14ac:dyDescent="0.2">
      <c r="B137" s="33" t="str">
        <f>Master!A234&amp;" Field"</f>
        <v>Z668 Field</v>
      </c>
      <c r="C137" s="34" t="str">
        <f>Master!A234&amp;" Panel"</f>
        <v>Z668 Panel</v>
      </c>
      <c r="D137" s="61">
        <f>Master!B234</f>
        <v>0</v>
      </c>
      <c r="E137" s="23"/>
      <c r="F137" s="53" t="str">
        <f>Master!A250&amp;" Field"</f>
        <v>Z684 Field</v>
      </c>
      <c r="G137" s="54" t="str">
        <f>Master!A250&amp;" Panel"</f>
        <v>Z684 Panel</v>
      </c>
      <c r="H137" s="61">
        <f>Master!B250</f>
        <v>0</v>
      </c>
      <c r="I137" s="23"/>
      <c r="J137" s="23"/>
      <c r="K137" s="23"/>
      <c r="L137" s="23"/>
      <c r="M137" s="23"/>
      <c r="N137" s="23"/>
      <c r="O137" s="23"/>
      <c r="P137" s="23"/>
    </row>
    <row r="138" spans="2:16" x14ac:dyDescent="0.2">
      <c r="B138" s="30" t="str">
        <f>Master!A235&amp;" Field"</f>
        <v>Z669 Field</v>
      </c>
      <c r="C138" s="31" t="str">
        <f>Master!A235&amp;" Panel"</f>
        <v>Z669 Panel</v>
      </c>
      <c r="D138" s="65">
        <f>Master!B235</f>
        <v>0</v>
      </c>
      <c r="E138" s="23"/>
      <c r="F138" s="55" t="str">
        <f>Master!A251&amp;" Field"</f>
        <v>Z685 Field</v>
      </c>
      <c r="G138" s="49" t="str">
        <f>Master!A251&amp;" Panel"</f>
        <v>Z685 Panel</v>
      </c>
      <c r="H138" s="65">
        <f>Master!B251</f>
        <v>0</v>
      </c>
      <c r="I138" s="23"/>
      <c r="J138" s="23"/>
      <c r="K138" s="23"/>
      <c r="L138" s="23"/>
      <c r="M138" s="23"/>
      <c r="N138" s="23"/>
      <c r="O138" s="23"/>
      <c r="P138" s="23"/>
    </row>
    <row r="139" spans="2:16" x14ac:dyDescent="0.2">
      <c r="B139" s="33" t="str">
        <f>Master!A236&amp;" Field"</f>
        <v>Z670 Field</v>
      </c>
      <c r="C139" s="34" t="str">
        <f>Master!A236&amp;" Panel"</f>
        <v>Z670 Panel</v>
      </c>
      <c r="D139" s="61">
        <f>Master!B236</f>
        <v>0</v>
      </c>
      <c r="E139" s="23"/>
      <c r="F139" s="53" t="str">
        <f>Master!A252&amp;" Field"</f>
        <v>Z686 Field</v>
      </c>
      <c r="G139" s="54" t="str">
        <f>Master!A252&amp;" Panel"</f>
        <v>Z686 Panel</v>
      </c>
      <c r="H139" s="61">
        <f>Master!B252</f>
        <v>0</v>
      </c>
      <c r="I139" s="23"/>
      <c r="J139" s="23"/>
      <c r="K139" s="23"/>
      <c r="L139" s="23"/>
      <c r="M139" s="23"/>
      <c r="N139" s="23"/>
      <c r="O139" s="23"/>
      <c r="P139" s="23"/>
    </row>
    <row r="140" spans="2:16" x14ac:dyDescent="0.2">
      <c r="B140" s="30" t="str">
        <f>Master!A237&amp;" Field"</f>
        <v>Z671 Field</v>
      </c>
      <c r="C140" s="31" t="str">
        <f>Master!A237&amp;" Panel"</f>
        <v>Z671 Panel</v>
      </c>
      <c r="D140" s="65">
        <f>Master!B237</f>
        <v>0</v>
      </c>
      <c r="E140" s="23"/>
      <c r="F140" s="55" t="str">
        <f>Master!A253&amp;" Field"</f>
        <v>Z687 Field</v>
      </c>
      <c r="G140" s="49" t="str">
        <f>Master!A253&amp;" Panel"</f>
        <v>Z687 Panel</v>
      </c>
      <c r="H140" s="65">
        <f>Master!B253</f>
        <v>0</v>
      </c>
      <c r="I140" s="23"/>
      <c r="J140" s="23"/>
      <c r="K140" s="23"/>
      <c r="L140" s="23"/>
      <c r="M140" s="23"/>
      <c r="N140" s="23"/>
      <c r="O140" s="23"/>
      <c r="P140" s="23"/>
    </row>
    <row r="141" spans="2:16" x14ac:dyDescent="0.2">
      <c r="B141" s="33" t="str">
        <f>Master!A238&amp;" Field"</f>
        <v>Z672 Field</v>
      </c>
      <c r="C141" s="34" t="str">
        <f>Master!A238&amp;" Panel"</f>
        <v>Z672 Panel</v>
      </c>
      <c r="D141" s="61">
        <f>Master!B238</f>
        <v>0</v>
      </c>
      <c r="E141" s="23"/>
      <c r="F141" s="53" t="str">
        <f>Master!A254&amp;" Field"</f>
        <v>Z688 Field</v>
      </c>
      <c r="G141" s="54" t="str">
        <f>Master!A254&amp;" Panel"</f>
        <v>Z688 Panel</v>
      </c>
      <c r="H141" s="61">
        <f>Master!B254</f>
        <v>0</v>
      </c>
      <c r="I141" s="23"/>
      <c r="J141" s="23"/>
      <c r="K141" s="23"/>
      <c r="L141" s="23"/>
      <c r="M141" s="23"/>
      <c r="N141" s="23"/>
      <c r="O141" s="23"/>
      <c r="P141" s="23"/>
    </row>
    <row r="142" spans="2:16" x14ac:dyDescent="0.2">
      <c r="B142" s="30" t="str">
        <f>Master!A239&amp;" Field"</f>
        <v>Z673 Field</v>
      </c>
      <c r="C142" s="31" t="str">
        <f>Master!A239&amp;" Panel"</f>
        <v>Z673 Panel</v>
      </c>
      <c r="D142" s="65">
        <f>Master!B239</f>
        <v>0</v>
      </c>
      <c r="E142" s="23"/>
      <c r="F142" s="55" t="str">
        <f>Master!A255&amp;" Field"</f>
        <v>Z689 Field</v>
      </c>
      <c r="G142" s="49" t="str">
        <f>Master!A255&amp;" Panel"</f>
        <v>Z689 Panel</v>
      </c>
      <c r="H142" s="68">
        <f>Master!B255</f>
        <v>0</v>
      </c>
      <c r="I142" s="23"/>
      <c r="J142" s="23"/>
      <c r="K142" s="23"/>
      <c r="L142" s="23"/>
      <c r="M142" s="23"/>
      <c r="N142" s="23"/>
      <c r="O142" s="23"/>
      <c r="P142" s="23"/>
    </row>
    <row r="143" spans="2:16" x14ac:dyDescent="0.2">
      <c r="B143" s="33" t="str">
        <f>Master!A240&amp;" Field"</f>
        <v>Z674 Field</v>
      </c>
      <c r="C143" s="34" t="str">
        <f>Master!A240&amp;" Panel"</f>
        <v>Z674 Panel</v>
      </c>
      <c r="D143" s="61">
        <f>Master!B240</f>
        <v>0</v>
      </c>
      <c r="E143" s="23"/>
      <c r="F143" s="53" t="str">
        <f>Master!A256&amp;" Field"</f>
        <v>Z690 Field</v>
      </c>
      <c r="G143" s="54" t="str">
        <f>Master!A256&amp;" Panel"</f>
        <v>Z690 Panel</v>
      </c>
      <c r="H143" s="61">
        <f>Master!B256</f>
        <v>0</v>
      </c>
      <c r="I143" s="23"/>
      <c r="J143" s="23"/>
      <c r="K143" s="23"/>
      <c r="L143" s="23"/>
      <c r="M143" s="23"/>
      <c r="N143" s="23"/>
      <c r="O143" s="23"/>
      <c r="P143" s="23"/>
    </row>
    <row r="144" spans="2:16" x14ac:dyDescent="0.2">
      <c r="B144" s="30" t="str">
        <f>Master!A241&amp;" Field"</f>
        <v>Z675 Field</v>
      </c>
      <c r="C144" s="31" t="str">
        <f>Master!A241&amp;" Panel"</f>
        <v>Z675 Panel</v>
      </c>
      <c r="D144" s="65">
        <f>Master!B241</f>
        <v>0</v>
      </c>
      <c r="E144" s="23"/>
      <c r="F144" s="55" t="str">
        <f>Master!A257&amp;" Field"</f>
        <v>Z691 Field</v>
      </c>
      <c r="G144" s="49" t="str">
        <f>Master!A257&amp;" Panel"</f>
        <v>Z691 Panel</v>
      </c>
      <c r="H144" s="60">
        <f>Master!B257</f>
        <v>0</v>
      </c>
      <c r="I144" s="23"/>
      <c r="J144" s="23"/>
      <c r="K144" s="23"/>
      <c r="L144" s="23"/>
      <c r="M144" s="23"/>
      <c r="N144" s="23"/>
      <c r="O144" s="23"/>
      <c r="P144" s="23"/>
    </row>
    <row r="145" spans="2:16" x14ac:dyDescent="0.2">
      <c r="B145" s="33" t="str">
        <f>Master!A242&amp;" Field"</f>
        <v>Z676 Field</v>
      </c>
      <c r="C145" s="34" t="str">
        <f>Master!A242&amp;" Panel"</f>
        <v>Z676 Panel</v>
      </c>
      <c r="D145" s="61">
        <f>Master!B242</f>
        <v>0</v>
      </c>
      <c r="E145" s="23"/>
      <c r="F145" s="53" t="str">
        <f>Master!A258&amp;" Field"</f>
        <v>Z692 Field</v>
      </c>
      <c r="G145" s="54" t="str">
        <f>Master!A258&amp;" Panel"</f>
        <v>Z692 Panel</v>
      </c>
      <c r="H145" s="73">
        <f>Master!B258</f>
        <v>0</v>
      </c>
      <c r="I145" s="23"/>
      <c r="J145" s="23"/>
      <c r="K145" s="23"/>
      <c r="L145" s="23"/>
      <c r="M145" s="23"/>
      <c r="N145" s="23"/>
      <c r="O145" s="23"/>
      <c r="P145" s="23"/>
    </row>
    <row r="146" spans="2:16" x14ac:dyDescent="0.2">
      <c r="B146" s="30" t="str">
        <f>Master!A243&amp;" Field"</f>
        <v>Z677 Field</v>
      </c>
      <c r="C146" s="31" t="str">
        <f>Master!A243&amp;" Panel"</f>
        <v>Z677 Panel</v>
      </c>
      <c r="D146" s="65">
        <f>Master!B243</f>
        <v>0</v>
      </c>
      <c r="E146" s="23"/>
      <c r="F146" s="55" t="str">
        <f>Master!A259&amp;" Field"</f>
        <v>Z693 Field</v>
      </c>
      <c r="G146" s="49" t="str">
        <f>Master!A259&amp;" Panel"</f>
        <v>Z693 Panel</v>
      </c>
      <c r="H146" s="65">
        <f>Master!B259</f>
        <v>0</v>
      </c>
      <c r="I146" s="23"/>
      <c r="J146" s="23"/>
      <c r="K146" s="23"/>
      <c r="L146" s="23"/>
      <c r="M146" s="23"/>
      <c r="N146" s="23"/>
      <c r="O146" s="23"/>
      <c r="P146" s="23"/>
    </row>
    <row r="147" spans="2:16" x14ac:dyDescent="0.2">
      <c r="B147" s="33" t="str">
        <f>Master!A244&amp;" Field"</f>
        <v>Z678 Field</v>
      </c>
      <c r="C147" s="34" t="str">
        <f>Master!A244&amp;" Panel"</f>
        <v>Z678 Panel</v>
      </c>
      <c r="D147" s="61">
        <f>Master!B244</f>
        <v>0</v>
      </c>
      <c r="E147" s="23"/>
      <c r="F147" s="53" t="str">
        <f>Master!A260&amp;" Field"</f>
        <v>Z694 Field</v>
      </c>
      <c r="G147" s="54" t="str">
        <f>Master!A260&amp;" Panel"</f>
        <v>Z694 Panel</v>
      </c>
      <c r="H147" s="61">
        <f>Master!B260</f>
        <v>0</v>
      </c>
      <c r="I147" s="23"/>
      <c r="J147" s="23"/>
      <c r="K147" s="23"/>
      <c r="L147" s="23"/>
      <c r="M147" s="23"/>
      <c r="N147" s="23"/>
      <c r="O147" s="23"/>
      <c r="P147" s="23"/>
    </row>
    <row r="148" spans="2:16" x14ac:dyDescent="0.2">
      <c r="B148" s="30" t="str">
        <f>Master!A245&amp;" Field"</f>
        <v>Z679 Field</v>
      </c>
      <c r="C148" s="31" t="str">
        <f>Master!A245&amp;" Panel"</f>
        <v>Z679 Panel</v>
      </c>
      <c r="D148" s="65" t="str">
        <f>Master!B245</f>
        <v>PS-11: A/C LOSS</v>
      </c>
      <c r="E148" s="23"/>
      <c r="F148" s="55" t="str">
        <f>Master!A261&amp;" Field"</f>
        <v>Z695 Field</v>
      </c>
      <c r="G148" s="49" t="str">
        <f>Master!A261&amp;" Panel"</f>
        <v>Z695 Panel</v>
      </c>
      <c r="H148" s="65" t="str">
        <f>Master!B261</f>
        <v>PS-12: A/C LOSS</v>
      </c>
      <c r="I148" s="23"/>
      <c r="J148" s="23"/>
      <c r="K148" s="23"/>
      <c r="L148" s="23"/>
      <c r="M148" s="23"/>
      <c r="N148" s="23"/>
      <c r="O148" s="23"/>
      <c r="P148" s="23"/>
    </row>
    <row r="149" spans="2:16" x14ac:dyDescent="0.2">
      <c r="B149" s="33" t="str">
        <f>Master!A246&amp;" Field"</f>
        <v>Z680 Field</v>
      </c>
      <c r="C149" s="34" t="str">
        <f>Master!A246&amp;" Panel"</f>
        <v>Z680 Panel</v>
      </c>
      <c r="D149" s="61" t="str">
        <f>Master!B246</f>
        <v>PS-11: BATT. TRBL.</v>
      </c>
      <c r="E149" s="23"/>
      <c r="F149" s="53" t="str">
        <f>Master!A262&amp;" Field"</f>
        <v>Z696 Field</v>
      </c>
      <c r="G149" s="54" t="str">
        <f>Master!A262&amp;" Panel"</f>
        <v>Z696 Panel</v>
      </c>
      <c r="H149" s="61" t="str">
        <f>Master!B262</f>
        <v>PS-12: BATT. TRBL.</v>
      </c>
      <c r="I149" s="23"/>
      <c r="J149" s="23"/>
      <c r="K149" s="23"/>
      <c r="L149" s="23"/>
      <c r="M149" s="23"/>
      <c r="N149" s="23"/>
      <c r="O149" s="23"/>
      <c r="P149" s="23"/>
    </row>
    <row r="150" spans="2:16" ht="16" customHeight="1" thickBot="1" x14ac:dyDescent="0.25">
      <c r="B150" s="35" t="s">
        <v>640</v>
      </c>
      <c r="C150" s="36" t="s">
        <v>661</v>
      </c>
      <c r="D150" s="71" t="s">
        <v>662</v>
      </c>
      <c r="E150" s="23"/>
      <c r="F150" s="56" t="s">
        <v>640</v>
      </c>
      <c r="G150" s="57" t="s">
        <v>663</v>
      </c>
      <c r="H150" s="67" t="s">
        <v>664</v>
      </c>
      <c r="I150" s="23"/>
      <c r="J150" s="23"/>
      <c r="K150" s="23"/>
      <c r="L150" s="23"/>
      <c r="M150" s="23"/>
      <c r="N150" s="23"/>
      <c r="O150" s="23"/>
      <c r="P150" s="23"/>
    </row>
    <row r="151" spans="2:16" ht="16" customHeight="1" thickBot="1" x14ac:dyDescent="0.25">
      <c r="B151" s="23"/>
      <c r="C151" s="23"/>
      <c r="D151" s="23"/>
    </row>
    <row r="152" spans="2:16" ht="19" customHeight="1" x14ac:dyDescent="0.2">
      <c r="B152" s="99" t="str">
        <f>Header!B3</f>
        <v>[SCHOOL NAME]</v>
      </c>
      <c r="C152" s="90"/>
      <c r="D152" s="91"/>
      <c r="E152" s="23"/>
      <c r="F152" s="89" t="str">
        <f>Header!B3</f>
        <v>[SCHOOL NAME]</v>
      </c>
      <c r="G152" s="90"/>
      <c r="H152" s="91"/>
      <c r="I152" s="23"/>
      <c r="J152" s="23"/>
      <c r="K152" s="23"/>
      <c r="L152" s="23"/>
      <c r="M152" s="23"/>
      <c r="N152" s="23"/>
      <c r="O152" s="23"/>
      <c r="P152" s="23"/>
    </row>
    <row r="153" spans="2:16" ht="19" customHeight="1" x14ac:dyDescent="0.2">
      <c r="B153" s="92" t="str">
        <f>Header!B4</f>
        <v>[ADDRESS]</v>
      </c>
      <c r="C153" s="93"/>
      <c r="D153" s="94"/>
      <c r="E153" s="23"/>
      <c r="F153" s="100" t="str">
        <f>Header!B4</f>
        <v>[ADDRESS]</v>
      </c>
      <c r="G153" s="101"/>
      <c r="H153" s="102"/>
      <c r="I153" s="23"/>
      <c r="J153" s="23"/>
      <c r="K153" s="23"/>
      <c r="L153" s="23"/>
      <c r="M153" s="23"/>
      <c r="N153" s="23"/>
      <c r="O153" s="23"/>
      <c r="P153" s="23"/>
    </row>
    <row r="154" spans="2:16" ht="19" x14ac:dyDescent="0.2">
      <c r="B154" s="92" t="str">
        <f>Header!B5</f>
        <v>[CITY, STATE ZIP]</v>
      </c>
      <c r="C154" s="93"/>
      <c r="D154" s="94"/>
      <c r="E154" s="23"/>
      <c r="F154" s="100" t="str">
        <f>Header!B5</f>
        <v>[CITY, STATE ZIP]</v>
      </c>
      <c r="G154" s="101"/>
      <c r="H154" s="102"/>
      <c r="I154" s="23"/>
      <c r="J154" s="23"/>
      <c r="K154" s="23"/>
      <c r="L154" s="23"/>
      <c r="M154" s="23"/>
      <c r="N154" s="23"/>
      <c r="O154" s="23"/>
      <c r="P154" s="23"/>
    </row>
    <row r="155" spans="2:16" x14ac:dyDescent="0.2">
      <c r="B155" s="39"/>
      <c r="C155" s="40"/>
      <c r="D155" s="41"/>
      <c r="E155" s="23"/>
      <c r="F155" s="14"/>
      <c r="G155" s="2"/>
      <c r="H155" s="15"/>
      <c r="I155" s="23"/>
      <c r="J155" s="23"/>
      <c r="K155" s="23"/>
      <c r="L155" s="23"/>
      <c r="M155" s="23"/>
      <c r="N155" s="23"/>
      <c r="O155" s="23"/>
      <c r="P155" s="23"/>
    </row>
    <row r="156" spans="2:16" ht="16" customHeight="1" thickBot="1" x14ac:dyDescent="0.25">
      <c r="B156" s="42"/>
      <c r="C156" s="43"/>
      <c r="D156" s="44"/>
      <c r="E156" s="23"/>
      <c r="F156" s="16"/>
      <c r="G156" s="17"/>
      <c r="H156" s="18"/>
      <c r="I156" s="23"/>
      <c r="J156" s="23"/>
      <c r="K156" s="23"/>
      <c r="L156" s="23"/>
      <c r="M156" s="23"/>
      <c r="N156" s="23"/>
      <c r="O156" s="23"/>
      <c r="P156" s="23"/>
    </row>
    <row r="157" spans="2:16" ht="17" customHeight="1" thickBot="1" x14ac:dyDescent="0.25">
      <c r="B157" s="96">
        <f>Master!D267</f>
        <v>0</v>
      </c>
      <c r="C157" s="97"/>
      <c r="D157" s="98"/>
      <c r="E157" s="23"/>
      <c r="F157" s="103">
        <f>Master!D283</f>
        <v>0</v>
      </c>
      <c r="G157" s="104"/>
      <c r="H157" s="105"/>
      <c r="I157" s="23"/>
      <c r="J157" s="23"/>
      <c r="K157" s="23"/>
      <c r="L157" s="23"/>
      <c r="M157" s="23"/>
      <c r="N157" s="23"/>
      <c r="O157" s="23"/>
      <c r="P157" s="23"/>
    </row>
    <row r="158" spans="2:16" ht="17" customHeight="1" thickBot="1" x14ac:dyDescent="0.25">
      <c r="B158" s="45" t="s">
        <v>638</v>
      </c>
      <c r="C158" s="46" t="s">
        <v>639</v>
      </c>
      <c r="D158" s="47" t="s">
        <v>2</v>
      </c>
      <c r="E158" s="23"/>
      <c r="F158" s="3" t="s">
        <v>638</v>
      </c>
      <c r="G158" s="3" t="s">
        <v>639</v>
      </c>
      <c r="H158" s="19" t="s">
        <v>2</v>
      </c>
      <c r="I158" s="23"/>
      <c r="J158" s="23"/>
      <c r="K158" s="23"/>
      <c r="L158" s="23"/>
      <c r="M158" s="23"/>
      <c r="N158" s="23"/>
      <c r="O158" s="23"/>
      <c r="P158" s="23"/>
    </row>
    <row r="159" spans="2:16" x14ac:dyDescent="0.2">
      <c r="B159" s="30" t="str">
        <f>Master!A267&amp;" Field"</f>
        <v>Z701 Field</v>
      </c>
      <c r="C159" s="31" t="str">
        <f>Master!A267&amp;" Panel"</f>
        <v>Z701 Panel</v>
      </c>
      <c r="D159" s="70">
        <f>Master!B267</f>
        <v>0</v>
      </c>
      <c r="E159" s="23"/>
      <c r="F159" s="5" t="str">
        <f>Master!A283&amp;" Field"</f>
        <v>Z717 Field</v>
      </c>
      <c r="G159" s="5" t="str">
        <f>Master!A283&amp;" Panel"</f>
        <v>Z717 Panel</v>
      </c>
      <c r="H159" s="13">
        <f>Master!B283</f>
        <v>0</v>
      </c>
      <c r="I159" s="23"/>
      <c r="J159" s="23"/>
      <c r="K159" s="23"/>
      <c r="L159" s="23"/>
      <c r="M159" s="23"/>
      <c r="N159" s="23"/>
      <c r="O159" s="23"/>
      <c r="P159" s="23"/>
    </row>
    <row r="160" spans="2:16" x14ac:dyDescent="0.2">
      <c r="B160" s="33" t="str">
        <f>Master!A268&amp;" Field"</f>
        <v>Z702 Field</v>
      </c>
      <c r="C160" s="34" t="str">
        <f>Master!A268&amp;" Panel"</f>
        <v>Z702 Panel</v>
      </c>
      <c r="D160" s="61">
        <f>Master!B268</f>
        <v>0</v>
      </c>
      <c r="E160" s="23"/>
      <c r="F160" s="5" t="str">
        <f>Master!A284&amp;" Field"</f>
        <v>Z718 Field</v>
      </c>
      <c r="G160" s="5" t="str">
        <f>Master!A284&amp;" Panel"</f>
        <v>Z718 Panel</v>
      </c>
      <c r="H160" s="13">
        <f>Master!B284</f>
        <v>0</v>
      </c>
      <c r="I160" s="23"/>
      <c r="J160" s="23"/>
      <c r="K160" s="23"/>
      <c r="L160" s="23"/>
      <c r="M160" s="23"/>
      <c r="N160" s="23"/>
      <c r="O160" s="23"/>
      <c r="P160" s="23"/>
    </row>
    <row r="161" spans="2:16" x14ac:dyDescent="0.2">
      <c r="B161" s="30" t="str">
        <f>Master!A269&amp;" Field"</f>
        <v>Z703 Field</v>
      </c>
      <c r="C161" s="31" t="str">
        <f>Master!A269&amp;" Panel"</f>
        <v>Z703 Panel</v>
      </c>
      <c r="D161" s="65">
        <f>Master!B269</f>
        <v>0</v>
      </c>
      <c r="E161" s="23"/>
      <c r="F161" s="5" t="str">
        <f>Master!A285&amp;" Field"</f>
        <v>Z719 Field</v>
      </c>
      <c r="G161" s="5" t="str">
        <f>Master!A285&amp;" Panel"</f>
        <v>Z719 Panel</v>
      </c>
      <c r="H161" s="13">
        <f>Master!B285</f>
        <v>0</v>
      </c>
      <c r="I161" s="23"/>
      <c r="J161" s="23"/>
      <c r="K161" s="23"/>
      <c r="L161" s="23"/>
      <c r="M161" s="23"/>
      <c r="N161" s="23"/>
      <c r="O161" s="23"/>
      <c r="P161" s="23"/>
    </row>
    <row r="162" spans="2:16" x14ac:dyDescent="0.2">
      <c r="B162" s="33" t="str">
        <f>Master!A270&amp;" Field"</f>
        <v>Z704 Field</v>
      </c>
      <c r="C162" s="34" t="str">
        <f>Master!A270&amp;" Panel"</f>
        <v>Z704 Panel</v>
      </c>
      <c r="D162" s="61">
        <f>Master!B270</f>
        <v>0</v>
      </c>
      <c r="E162" s="23"/>
      <c r="F162" s="5" t="str">
        <f>Master!A286&amp;" Field"</f>
        <v>Z720 Field</v>
      </c>
      <c r="G162" s="5" t="str">
        <f>Master!A286&amp;" Panel"</f>
        <v>Z720 Panel</v>
      </c>
      <c r="H162" s="13">
        <f>Master!B286</f>
        <v>0</v>
      </c>
      <c r="I162" s="23"/>
      <c r="J162" s="23"/>
      <c r="K162" s="23"/>
      <c r="L162" s="23"/>
      <c r="M162" s="23"/>
      <c r="N162" s="23"/>
      <c r="O162" s="23"/>
      <c r="P162" s="23"/>
    </row>
    <row r="163" spans="2:16" x14ac:dyDescent="0.2">
      <c r="B163" s="30" t="str">
        <f>Master!A271&amp;" Field"</f>
        <v>Z705 Field</v>
      </c>
      <c r="C163" s="31" t="str">
        <f>Master!A271&amp;" Panel"</f>
        <v>Z705 Panel</v>
      </c>
      <c r="D163" s="62">
        <f>Master!B271</f>
        <v>0</v>
      </c>
      <c r="E163" s="23"/>
      <c r="F163" s="5" t="str">
        <f>Master!A287&amp;" Field"</f>
        <v>Z721 Field</v>
      </c>
      <c r="G163" s="5" t="str">
        <f>Master!A287&amp;" Panel"</f>
        <v>Z721 Panel</v>
      </c>
      <c r="H163" s="13">
        <f>Master!B287</f>
        <v>0</v>
      </c>
      <c r="I163" s="23"/>
      <c r="J163" s="23"/>
      <c r="K163" s="23"/>
      <c r="L163" s="23"/>
      <c r="M163" s="23"/>
      <c r="N163" s="23"/>
      <c r="O163" s="23"/>
      <c r="P163" s="23"/>
    </row>
    <row r="164" spans="2:16" x14ac:dyDescent="0.2">
      <c r="B164" s="33" t="str">
        <f>Master!A272&amp;" Field"</f>
        <v>Z706 Field</v>
      </c>
      <c r="C164" s="34" t="str">
        <f>Master!A272&amp;" Panel"</f>
        <v>Z706 Panel</v>
      </c>
      <c r="D164" s="61">
        <f>Master!B272</f>
        <v>0</v>
      </c>
      <c r="E164" s="23"/>
      <c r="F164" s="5" t="str">
        <f>Master!A288&amp;" Field"</f>
        <v>Z722 Field</v>
      </c>
      <c r="G164" s="5" t="str">
        <f>Master!A288&amp;" Panel"</f>
        <v>Z722 Panel</v>
      </c>
      <c r="H164" s="13">
        <f>Master!B288</f>
        <v>0</v>
      </c>
      <c r="I164" s="23"/>
      <c r="J164" s="23"/>
      <c r="K164" s="23"/>
      <c r="L164" s="23"/>
      <c r="M164" s="23"/>
      <c r="N164" s="23"/>
      <c r="O164" s="23"/>
      <c r="P164" s="23"/>
    </row>
    <row r="165" spans="2:16" x14ac:dyDescent="0.2">
      <c r="B165" s="30" t="str">
        <f>Master!A273&amp;" Field"</f>
        <v>Z707 Field</v>
      </c>
      <c r="C165" s="31" t="str">
        <f>Master!A273&amp;" Panel"</f>
        <v>Z707 Panel</v>
      </c>
      <c r="D165" s="62">
        <f>Master!B273</f>
        <v>0</v>
      </c>
      <c r="E165" s="23"/>
      <c r="F165" s="5" t="str">
        <f>Master!A289&amp;" Field"</f>
        <v>Z723 Field</v>
      </c>
      <c r="G165" s="5" t="str">
        <f>Master!A289&amp;" Panel"</f>
        <v>Z723 Panel</v>
      </c>
      <c r="H165" s="13">
        <f>Master!B289</f>
        <v>0</v>
      </c>
      <c r="I165" s="23"/>
      <c r="J165" s="23"/>
      <c r="K165" s="23"/>
      <c r="L165" s="23"/>
      <c r="M165" s="23"/>
      <c r="N165" s="23"/>
      <c r="O165" s="23"/>
      <c r="P165" s="23"/>
    </row>
    <row r="166" spans="2:16" x14ac:dyDescent="0.2">
      <c r="B166" s="33" t="str">
        <f>Master!A274&amp;" Field"</f>
        <v>Z708 Field</v>
      </c>
      <c r="C166" s="34" t="str">
        <f>Master!A274&amp;" Panel"</f>
        <v>Z708 Panel</v>
      </c>
      <c r="D166" s="61">
        <f>Master!B274</f>
        <v>0</v>
      </c>
      <c r="E166" s="23"/>
      <c r="F166" s="5" t="str">
        <f>Master!A290&amp;" Field"</f>
        <v>Z724 Field</v>
      </c>
      <c r="G166" s="5" t="str">
        <f>Master!A290&amp;" Panel"</f>
        <v>Z724 Panel</v>
      </c>
      <c r="H166" s="13">
        <f>Master!B290</f>
        <v>0</v>
      </c>
      <c r="I166" s="23"/>
      <c r="J166" s="23"/>
      <c r="K166" s="23"/>
      <c r="L166" s="23"/>
      <c r="M166" s="23"/>
      <c r="N166" s="23"/>
      <c r="O166" s="23"/>
      <c r="P166" s="23"/>
    </row>
    <row r="167" spans="2:16" x14ac:dyDescent="0.2">
      <c r="B167" s="30" t="str">
        <f>Master!A275&amp;" Field"</f>
        <v>Z709 Field</v>
      </c>
      <c r="C167" s="31" t="str">
        <f>Master!A275&amp;" Panel"</f>
        <v>Z709 Panel</v>
      </c>
      <c r="D167" s="65">
        <f>Master!B275</f>
        <v>0</v>
      </c>
      <c r="E167" s="23"/>
      <c r="F167" s="5" t="str">
        <f>Master!A291&amp;" Field"</f>
        <v>Z725 Field</v>
      </c>
      <c r="G167" s="5" t="str">
        <f>Master!A291&amp;" Panel"</f>
        <v>Z725 Panel</v>
      </c>
      <c r="H167" s="13">
        <f>Master!B291</f>
        <v>0</v>
      </c>
      <c r="I167" s="23"/>
      <c r="J167" s="23"/>
      <c r="K167" s="23"/>
      <c r="L167" s="23"/>
      <c r="M167" s="23"/>
      <c r="N167" s="23"/>
      <c r="O167" s="23"/>
      <c r="P167" s="23"/>
    </row>
    <row r="168" spans="2:16" x14ac:dyDescent="0.2">
      <c r="B168" s="33" t="str">
        <f>Master!A276&amp;" Field"</f>
        <v>Z710 Field</v>
      </c>
      <c r="C168" s="34" t="str">
        <f>Master!A276&amp;" Panel"</f>
        <v>Z710 Panel</v>
      </c>
      <c r="D168" s="61">
        <f>Master!B276</f>
        <v>0</v>
      </c>
      <c r="E168" s="23"/>
      <c r="F168" s="5" t="str">
        <f>Master!A292&amp;" Field"</f>
        <v>Z726 Field</v>
      </c>
      <c r="G168" s="5" t="str">
        <f>Master!A292&amp;" Panel"</f>
        <v>Z726 Panel</v>
      </c>
      <c r="H168" s="13">
        <f>Master!B292</f>
        <v>0</v>
      </c>
      <c r="I168" s="23"/>
      <c r="J168" s="23"/>
      <c r="K168" s="23"/>
      <c r="L168" s="23"/>
      <c r="M168" s="23"/>
      <c r="N168" s="23"/>
      <c r="O168" s="23"/>
      <c r="P168" s="23"/>
    </row>
    <row r="169" spans="2:16" x14ac:dyDescent="0.2">
      <c r="B169" s="30" t="str">
        <f>Master!A277&amp;" Field"</f>
        <v>Z711 Field</v>
      </c>
      <c r="C169" s="31" t="str">
        <f>Master!A277&amp;" Panel"</f>
        <v>Z711 Panel</v>
      </c>
      <c r="D169" s="65">
        <f>Master!B277</f>
        <v>0</v>
      </c>
      <c r="E169" s="23"/>
      <c r="F169" s="5" t="str">
        <f>Master!A293&amp;" Field"</f>
        <v>Z727 Field</v>
      </c>
      <c r="G169" s="5" t="str">
        <f>Master!A293&amp;" Panel"</f>
        <v>Z727 Panel</v>
      </c>
      <c r="H169" s="13">
        <f>Master!B293</f>
        <v>0</v>
      </c>
      <c r="I169" s="23"/>
      <c r="J169" s="23"/>
      <c r="K169" s="23"/>
      <c r="L169" s="23"/>
      <c r="M169" s="23"/>
      <c r="N169" s="23"/>
      <c r="O169" s="23"/>
      <c r="P169" s="23"/>
    </row>
    <row r="170" spans="2:16" x14ac:dyDescent="0.2">
      <c r="B170" s="33" t="str">
        <f>Master!A278&amp;" Field"</f>
        <v>Z712 Field</v>
      </c>
      <c r="C170" s="34" t="str">
        <f>Master!A278&amp;" Panel"</f>
        <v>Z712 Panel</v>
      </c>
      <c r="D170" s="61">
        <f>Master!B278</f>
        <v>0</v>
      </c>
      <c r="E170" s="23"/>
      <c r="F170" s="5" t="str">
        <f>Master!A294&amp;" Field"</f>
        <v>Z728 Field</v>
      </c>
      <c r="G170" s="5" t="str">
        <f>Master!A294&amp;" Panel"</f>
        <v>Z728 Panel</v>
      </c>
      <c r="H170" s="13">
        <f>Master!B294</f>
        <v>0</v>
      </c>
      <c r="I170" s="23"/>
      <c r="J170" s="23"/>
      <c r="K170" s="23"/>
      <c r="L170" s="23"/>
      <c r="M170" s="23"/>
      <c r="N170" s="23"/>
      <c r="O170" s="23"/>
      <c r="P170" s="23"/>
    </row>
    <row r="171" spans="2:16" x14ac:dyDescent="0.2">
      <c r="B171" s="30" t="str">
        <f>Master!A279&amp;" Field"</f>
        <v>Z713 Field</v>
      </c>
      <c r="C171" s="31" t="str">
        <f>Master!A279&amp;" Panel"</f>
        <v>Z713 Panel</v>
      </c>
      <c r="D171" s="65">
        <f>Master!B279</f>
        <v>0</v>
      </c>
      <c r="E171" s="23"/>
      <c r="F171" s="5" t="str">
        <f>Master!A295&amp;" Field"</f>
        <v>Z729 Field</v>
      </c>
      <c r="G171" s="5" t="str">
        <f>Master!A295&amp;" Panel"</f>
        <v>Z729 Panel</v>
      </c>
      <c r="H171" s="13">
        <f>Master!B295</f>
        <v>0</v>
      </c>
      <c r="I171" s="23"/>
      <c r="J171" s="23"/>
      <c r="K171" s="23"/>
      <c r="L171" s="23"/>
      <c r="M171" s="23"/>
      <c r="N171" s="23"/>
      <c r="O171" s="23"/>
      <c r="P171" s="23"/>
    </row>
    <row r="172" spans="2:16" x14ac:dyDescent="0.2">
      <c r="B172" s="33" t="str">
        <f>Master!A280&amp;" Field"</f>
        <v>Z714 Field</v>
      </c>
      <c r="C172" s="34" t="str">
        <f>Master!A280&amp;" Panel"</f>
        <v>Z714 Panel</v>
      </c>
      <c r="D172" s="66">
        <f>Master!B280</f>
        <v>0</v>
      </c>
      <c r="E172" s="23"/>
      <c r="F172" s="5" t="str">
        <f>Master!A296&amp;" Field"</f>
        <v>Z730 Field</v>
      </c>
      <c r="G172" s="5" t="str">
        <f>Master!A296&amp;" Panel"</f>
        <v>Z730 Panel</v>
      </c>
      <c r="H172" s="13">
        <f>Master!B296</f>
        <v>0</v>
      </c>
      <c r="I172" s="23"/>
      <c r="J172" s="23"/>
      <c r="K172" s="23"/>
      <c r="L172" s="23"/>
      <c r="M172" s="23"/>
      <c r="N172" s="23"/>
      <c r="O172" s="23"/>
      <c r="P172" s="23"/>
    </row>
    <row r="173" spans="2:16" x14ac:dyDescent="0.2">
      <c r="B173" s="30" t="str">
        <f>Master!A281&amp;" Field"</f>
        <v>Z715 Field</v>
      </c>
      <c r="C173" s="31" t="str">
        <f>Master!A281&amp;" Panel"</f>
        <v>Z715 Panel</v>
      </c>
      <c r="D173" s="65" t="str">
        <f>Master!B281</f>
        <v>PS-13: A/C LOSS</v>
      </c>
      <c r="E173" s="23"/>
      <c r="F173" s="5" t="str">
        <f>Master!A297&amp;" Field"</f>
        <v>Z731 Field</v>
      </c>
      <c r="G173" s="5" t="str">
        <f>Master!A297&amp;" Panel"</f>
        <v>Z731 Panel</v>
      </c>
      <c r="H173" s="13" t="str">
        <f>Master!B297</f>
        <v>PS-14: A/C LOSS</v>
      </c>
      <c r="I173" s="23"/>
      <c r="J173" s="23"/>
      <c r="K173" s="23"/>
      <c r="L173" s="23"/>
      <c r="M173" s="23"/>
      <c r="N173" s="23"/>
      <c r="O173" s="23"/>
      <c r="P173" s="23"/>
    </row>
    <row r="174" spans="2:16" x14ac:dyDescent="0.2">
      <c r="B174" s="33" t="str">
        <f>Master!A282&amp;" Field"</f>
        <v>Z716 Field</v>
      </c>
      <c r="C174" s="34" t="str">
        <f>Master!A282&amp;" Panel"</f>
        <v>Z716 Panel</v>
      </c>
      <c r="D174" s="58" t="str">
        <f>Master!B282</f>
        <v>PS-13: BATT. TRBL.</v>
      </c>
      <c r="E174" s="23"/>
      <c r="F174" s="5" t="str">
        <f>Master!A298&amp;" Field"</f>
        <v>Z732 Field</v>
      </c>
      <c r="G174" s="5" t="str">
        <f>Master!A298&amp;" Panel"</f>
        <v>Z732 Panel</v>
      </c>
      <c r="H174" s="13" t="str">
        <f>Master!B298</f>
        <v>PS-14: BATT. TRBL.</v>
      </c>
      <c r="I174" s="23"/>
      <c r="J174" s="23"/>
      <c r="K174" s="23"/>
      <c r="L174" s="23"/>
      <c r="M174" s="23"/>
      <c r="N174" s="23"/>
      <c r="O174" s="23"/>
      <c r="P174" s="23"/>
    </row>
    <row r="175" spans="2:16" ht="16" customHeight="1" thickBot="1" x14ac:dyDescent="0.25">
      <c r="B175" s="35" t="s">
        <v>640</v>
      </c>
      <c r="C175" s="36" t="s">
        <v>665</v>
      </c>
      <c r="D175" s="71" t="s">
        <v>666</v>
      </c>
      <c r="E175" s="23"/>
      <c r="F175" s="5" t="s">
        <v>640</v>
      </c>
      <c r="G175" s="5" t="s">
        <v>667</v>
      </c>
      <c r="H175" s="13" t="s">
        <v>668</v>
      </c>
      <c r="I175" s="23"/>
      <c r="J175" s="23"/>
      <c r="K175" s="23"/>
      <c r="L175" s="23"/>
      <c r="M175" s="23"/>
      <c r="N175" s="23"/>
      <c r="O175" s="23"/>
      <c r="P175" s="23"/>
    </row>
    <row r="176" spans="2:16" ht="16" customHeight="1" thickBot="1" x14ac:dyDescent="0.25"/>
    <row r="177" spans="2:8" ht="19" customHeight="1" x14ac:dyDescent="0.2">
      <c r="B177" s="89" t="str">
        <f>Header!B3</f>
        <v>[SCHOOL NAME]</v>
      </c>
      <c r="C177" s="90"/>
      <c r="D177" s="91"/>
      <c r="F177" s="89" t="str">
        <f>Header!B3</f>
        <v>[SCHOOL NAME]</v>
      </c>
      <c r="G177" s="90"/>
      <c r="H177" s="91"/>
    </row>
    <row r="178" spans="2:8" ht="19" customHeight="1" x14ac:dyDescent="0.2">
      <c r="B178" s="100" t="str">
        <f>Header!B4</f>
        <v>[ADDRESS]</v>
      </c>
      <c r="C178" s="101"/>
      <c r="D178" s="102"/>
      <c r="F178" s="100" t="str">
        <f>Header!B4</f>
        <v>[ADDRESS]</v>
      </c>
      <c r="G178" s="101"/>
      <c r="H178" s="102"/>
    </row>
    <row r="179" spans="2:8" ht="19" x14ac:dyDescent="0.2">
      <c r="B179" s="100" t="str">
        <f>Header!B5</f>
        <v>[CITY, STATE ZIP]</v>
      </c>
      <c r="C179" s="101"/>
      <c r="D179" s="102"/>
      <c r="F179" s="100" t="str">
        <f>Header!B5</f>
        <v>[CITY, STATE ZIP]</v>
      </c>
      <c r="G179" s="101"/>
      <c r="H179" s="102"/>
    </row>
    <row r="180" spans="2:8" x14ac:dyDescent="0.2">
      <c r="B180" s="14"/>
      <c r="C180" s="2"/>
      <c r="D180" s="15"/>
      <c r="F180" s="14"/>
      <c r="G180" s="2"/>
      <c r="H180" s="15"/>
    </row>
    <row r="181" spans="2:8" ht="16" customHeight="1" thickBot="1" x14ac:dyDescent="0.25">
      <c r="B181" s="16"/>
      <c r="C181" s="17"/>
      <c r="D181" s="18"/>
      <c r="F181" s="16"/>
      <c r="G181" s="17"/>
      <c r="H181" s="18"/>
    </row>
    <row r="182" spans="2:8" ht="17" customHeight="1" thickBot="1" x14ac:dyDescent="0.25">
      <c r="B182" s="103">
        <f>Master!D299</f>
        <v>0</v>
      </c>
      <c r="C182" s="104"/>
      <c r="D182" s="105"/>
      <c r="F182" s="103">
        <f>Master!D315</f>
        <v>0</v>
      </c>
      <c r="G182" s="104"/>
      <c r="H182" s="105"/>
    </row>
    <row r="183" spans="2:8" ht="17" customHeight="1" thickBot="1" x14ac:dyDescent="0.25">
      <c r="B183" s="3" t="s">
        <v>638</v>
      </c>
      <c r="C183" s="3" t="s">
        <v>639</v>
      </c>
      <c r="D183" s="19" t="s">
        <v>2</v>
      </c>
      <c r="F183" s="3" t="s">
        <v>638</v>
      </c>
      <c r="G183" s="3" t="s">
        <v>639</v>
      </c>
      <c r="H183" s="19" t="s">
        <v>2</v>
      </c>
    </row>
    <row r="184" spans="2:8" x14ac:dyDescent="0.2">
      <c r="B184" s="5" t="str">
        <f>Master!A299&amp;" Field"</f>
        <v>Z733 Field</v>
      </c>
      <c r="C184" s="5" t="str">
        <f>Master!A299&amp;" Panel"</f>
        <v>Z733 Panel</v>
      </c>
      <c r="D184" s="13">
        <f>Master!B299</f>
        <v>0</v>
      </c>
      <c r="F184" s="5" t="str">
        <f>Master!A315&amp;" Field"</f>
        <v>Z749 Field</v>
      </c>
      <c r="G184" s="5" t="str">
        <f>Master!A315&amp;" Panel"</f>
        <v>Z749 Panel</v>
      </c>
      <c r="H184" s="13">
        <f>Master!B315</f>
        <v>0</v>
      </c>
    </row>
    <row r="185" spans="2:8" x14ac:dyDescent="0.2">
      <c r="B185" s="5" t="str">
        <f>Master!A300&amp;" Field"</f>
        <v>Z734 Field</v>
      </c>
      <c r="C185" s="5" t="str">
        <f>Master!A300&amp;" Panel"</f>
        <v>Z734 Panel</v>
      </c>
      <c r="D185" s="13">
        <f>Master!B300</f>
        <v>0</v>
      </c>
      <c r="F185" s="5" t="str">
        <f>Master!A316&amp;" Field"</f>
        <v>Z750 Field</v>
      </c>
      <c r="G185" s="5" t="str">
        <f>Master!A316&amp;" Panel"</f>
        <v>Z750 Panel</v>
      </c>
      <c r="H185" s="13">
        <f>Master!B316</f>
        <v>0</v>
      </c>
    </row>
    <row r="186" spans="2:8" x14ac:dyDescent="0.2">
      <c r="B186" s="5" t="str">
        <f>Master!A301&amp;" Field"</f>
        <v>Z735 Field</v>
      </c>
      <c r="C186" s="5" t="str">
        <f>Master!A301&amp;" Panel"</f>
        <v>Z735 Panel</v>
      </c>
      <c r="D186" s="13">
        <f>Master!B301</f>
        <v>0</v>
      </c>
      <c r="F186" s="5" t="str">
        <f>Master!A317&amp;" Field"</f>
        <v>Z751 Field</v>
      </c>
      <c r="G186" s="5" t="str">
        <f>Master!A317&amp;" Panel"</f>
        <v>Z751 Panel</v>
      </c>
      <c r="H186" s="13">
        <f>Master!B317</f>
        <v>0</v>
      </c>
    </row>
    <row r="187" spans="2:8" x14ac:dyDescent="0.2">
      <c r="B187" s="5" t="str">
        <f>Master!A302&amp;" Field"</f>
        <v>Z736 Field</v>
      </c>
      <c r="C187" s="5" t="str">
        <f>Master!A302&amp;" Panel"</f>
        <v>Z736 Panel</v>
      </c>
      <c r="D187" s="13">
        <f>Master!B302</f>
        <v>0</v>
      </c>
      <c r="F187" s="5" t="str">
        <f>Master!A318&amp;" Field"</f>
        <v>Z752 Field</v>
      </c>
      <c r="G187" s="5" t="str">
        <f>Master!A318&amp;" Panel"</f>
        <v>Z752 Panel</v>
      </c>
      <c r="H187" s="13">
        <f>Master!B318</f>
        <v>0</v>
      </c>
    </row>
    <row r="188" spans="2:8" x14ac:dyDescent="0.2">
      <c r="B188" s="5" t="str">
        <f>Master!A303&amp;" Field"</f>
        <v>Z737 Field</v>
      </c>
      <c r="C188" s="5" t="str">
        <f>Master!A303&amp;" Panel"</f>
        <v>Z737 Panel</v>
      </c>
      <c r="D188" s="13">
        <f>Master!B303</f>
        <v>0</v>
      </c>
      <c r="F188" s="5" t="str">
        <f>Master!A319&amp;" Field"</f>
        <v>Z753 Field</v>
      </c>
      <c r="G188" s="5" t="str">
        <f>Master!A319&amp;" Panel"</f>
        <v>Z753 Panel</v>
      </c>
      <c r="H188" s="13">
        <f>Master!B319</f>
        <v>0</v>
      </c>
    </row>
    <row r="189" spans="2:8" x14ac:dyDescent="0.2">
      <c r="B189" s="5" t="str">
        <f>Master!A304&amp;" Field"</f>
        <v>Z738 Field</v>
      </c>
      <c r="C189" s="5" t="str">
        <f>Master!A304&amp;" Panel"</f>
        <v>Z738 Panel</v>
      </c>
      <c r="D189" s="13">
        <f>Master!B304</f>
        <v>0</v>
      </c>
      <c r="F189" s="5" t="str">
        <f>Master!A320&amp;" Field"</f>
        <v>Z754 Field</v>
      </c>
      <c r="G189" s="5" t="str">
        <f>Master!A320&amp;" Panel"</f>
        <v>Z754 Panel</v>
      </c>
      <c r="H189" s="13">
        <f>Master!B320</f>
        <v>0</v>
      </c>
    </row>
    <row r="190" spans="2:8" x14ac:dyDescent="0.2">
      <c r="B190" s="5" t="str">
        <f>Master!A305&amp;" Field"</f>
        <v>Z739 Field</v>
      </c>
      <c r="C190" s="5" t="str">
        <f>Master!A305&amp;" Panel"</f>
        <v>Z739 Panel</v>
      </c>
      <c r="D190" s="13">
        <f>Master!B305</f>
        <v>0</v>
      </c>
      <c r="F190" s="5" t="str">
        <f>Master!A321&amp;" Field"</f>
        <v>Z755 Field</v>
      </c>
      <c r="G190" s="5" t="str">
        <f>Master!A321&amp;" Panel"</f>
        <v>Z755 Panel</v>
      </c>
      <c r="H190" s="13">
        <f>Master!B321</f>
        <v>0</v>
      </c>
    </row>
    <row r="191" spans="2:8" ht="16" customHeight="1" x14ac:dyDescent="0.2">
      <c r="B191" s="5" t="str">
        <f>Master!A306&amp;" Field"</f>
        <v>Z740 Field</v>
      </c>
      <c r="C191" s="5" t="str">
        <f>Master!A306&amp;" Panel"</f>
        <v>Z740 Panel</v>
      </c>
      <c r="D191" s="13">
        <f>Master!B306</f>
        <v>0</v>
      </c>
      <c r="F191" s="5" t="str">
        <f>Master!A322&amp;" Field"</f>
        <v>Z756 Field</v>
      </c>
      <c r="G191" s="5" t="str">
        <f>Master!A322&amp;" Panel"</f>
        <v>Z756 Panel</v>
      </c>
      <c r="H191" s="13">
        <f>Master!B322</f>
        <v>0</v>
      </c>
    </row>
    <row r="192" spans="2:8" x14ac:dyDescent="0.2">
      <c r="B192" s="5" t="str">
        <f>Master!A307&amp;" Field"</f>
        <v>Z741 Field</v>
      </c>
      <c r="C192" s="5" t="str">
        <f>Master!A307&amp;" Panel"</f>
        <v>Z741 Panel</v>
      </c>
      <c r="D192" s="13">
        <f>Master!B307</f>
        <v>0</v>
      </c>
      <c r="F192" s="5" t="str">
        <f>Master!A323&amp;" Field"</f>
        <v>Z757 Field</v>
      </c>
      <c r="G192" s="5" t="str">
        <f>Master!A323&amp;" Panel"</f>
        <v>Z757 Panel</v>
      </c>
      <c r="H192" s="13">
        <f>Master!B323</f>
        <v>0</v>
      </c>
    </row>
    <row r="193" spans="2:8" x14ac:dyDescent="0.2">
      <c r="B193" s="5" t="str">
        <f>Master!A308&amp;" Field"</f>
        <v>Z742 Field</v>
      </c>
      <c r="C193" s="5" t="str">
        <f>Master!A308&amp;" Panel"</f>
        <v>Z742 Panel</v>
      </c>
      <c r="D193" s="13">
        <f>Master!B308</f>
        <v>0</v>
      </c>
      <c r="F193" s="5" t="str">
        <f>Master!A324&amp;" Field"</f>
        <v>Z758 Field</v>
      </c>
      <c r="G193" s="5" t="str">
        <f>Master!A324&amp;" Panel"</f>
        <v>Z758 Panel</v>
      </c>
      <c r="H193" s="13">
        <f>Master!B324</f>
        <v>0</v>
      </c>
    </row>
    <row r="194" spans="2:8" x14ac:dyDescent="0.2">
      <c r="B194" s="5" t="str">
        <f>Master!A309&amp;" Field"</f>
        <v>Z743 Field</v>
      </c>
      <c r="C194" s="5" t="str">
        <f>Master!A309&amp;" Panel"</f>
        <v>Z743 Panel</v>
      </c>
      <c r="D194" s="13">
        <f>Master!B309</f>
        <v>0</v>
      </c>
      <c r="F194" s="5" t="str">
        <f>Master!A325&amp;" Field"</f>
        <v>Z759 Field</v>
      </c>
      <c r="G194" s="5" t="str">
        <f>Master!A325&amp;" Panel"</f>
        <v>Z759 Panel</v>
      </c>
      <c r="H194" s="13">
        <f>Master!B325</f>
        <v>0</v>
      </c>
    </row>
    <row r="195" spans="2:8" x14ac:dyDescent="0.2">
      <c r="B195" s="5" t="str">
        <f>Master!A310&amp;" Field"</f>
        <v>Z744 Field</v>
      </c>
      <c r="C195" s="5" t="str">
        <f>Master!A310&amp;" Panel"</f>
        <v>Z744 Panel</v>
      </c>
      <c r="D195" s="13">
        <f>Master!B310</f>
        <v>0</v>
      </c>
      <c r="F195" s="5" t="str">
        <f>Master!A326&amp;" Field"</f>
        <v>Z760 Field</v>
      </c>
      <c r="G195" s="5" t="str">
        <f>Master!A326&amp;" Panel"</f>
        <v>Z760 Panel</v>
      </c>
      <c r="H195" s="13">
        <f>Master!B326</f>
        <v>0</v>
      </c>
    </row>
    <row r="196" spans="2:8" x14ac:dyDescent="0.2">
      <c r="B196" s="5" t="str">
        <f>Master!A311&amp;" Field"</f>
        <v>Z745 Field</v>
      </c>
      <c r="C196" s="5" t="str">
        <f>Master!A311&amp;" Panel"</f>
        <v>Z745 Panel</v>
      </c>
      <c r="D196" s="13">
        <f>Master!B311</f>
        <v>0</v>
      </c>
      <c r="F196" s="5" t="str">
        <f>Master!A327&amp;" Field"</f>
        <v>Z761 Field</v>
      </c>
      <c r="G196" s="5" t="str">
        <f>Master!A327&amp;" Panel"</f>
        <v>Z761 Panel</v>
      </c>
      <c r="H196" s="13">
        <f>Master!B327</f>
        <v>0</v>
      </c>
    </row>
    <row r="197" spans="2:8" x14ac:dyDescent="0.2">
      <c r="B197" s="5" t="str">
        <f>Master!A312&amp;" Field"</f>
        <v>Z746 Field</v>
      </c>
      <c r="C197" s="5" t="str">
        <f>Master!A312&amp;" Panel"</f>
        <v>Z746 Panel</v>
      </c>
      <c r="D197" s="13">
        <f>Master!B312</f>
        <v>0</v>
      </c>
      <c r="F197" s="5" t="str">
        <f>Master!A328&amp;" Field"</f>
        <v>Z762 Field</v>
      </c>
      <c r="G197" s="5" t="str">
        <f>Master!A328&amp;" Panel"</f>
        <v>Z762 Panel</v>
      </c>
      <c r="H197" s="13">
        <f>Master!B328</f>
        <v>0</v>
      </c>
    </row>
    <row r="198" spans="2:8" x14ac:dyDescent="0.2">
      <c r="B198" s="5" t="str">
        <f>Master!A313&amp;" Field"</f>
        <v>Z747 Field</v>
      </c>
      <c r="C198" s="5" t="str">
        <f>Master!A313&amp;" Panel"</f>
        <v>Z747 Panel</v>
      </c>
      <c r="D198" s="13" t="str">
        <f>Master!B313</f>
        <v>PS-15: A/C LOSS</v>
      </c>
      <c r="F198" s="5" t="str">
        <f>Master!A329&amp;" Field"</f>
        <v>Z763 Field</v>
      </c>
      <c r="G198" s="5" t="str">
        <f>Master!A329&amp;" Panel"</f>
        <v>Z763 Panel</v>
      </c>
      <c r="H198" s="13" t="str">
        <f>Master!B329</f>
        <v>PS-16: A/C LOSS</v>
      </c>
    </row>
    <row r="199" spans="2:8" x14ac:dyDescent="0.2">
      <c r="B199" s="5" t="str">
        <f>Master!A314&amp;" Field"</f>
        <v>Z748 Field</v>
      </c>
      <c r="C199" s="5" t="str">
        <f>Master!A314&amp;" Panel"</f>
        <v>Z748 Panel</v>
      </c>
      <c r="D199" s="13" t="str">
        <f>Master!B314</f>
        <v>PS-15: BATT. TRBL.</v>
      </c>
      <c r="F199" s="5" t="str">
        <f>Master!A330&amp;" Field"</f>
        <v>Z764 Field</v>
      </c>
      <c r="G199" s="5" t="str">
        <f>Master!A330&amp;" Panel"</f>
        <v>Z764 Panel</v>
      </c>
      <c r="H199" s="13" t="str">
        <f>Master!B330</f>
        <v>PS-16: BATT. TRBL.</v>
      </c>
    </row>
    <row r="200" spans="2:8" x14ac:dyDescent="0.2">
      <c r="B200" s="5" t="s">
        <v>640</v>
      </c>
      <c r="C200" s="5" t="s">
        <v>669</v>
      </c>
      <c r="D200" s="13" t="s">
        <v>670</v>
      </c>
      <c r="F200" s="5" t="s">
        <v>640</v>
      </c>
      <c r="G200" s="5" t="s">
        <v>671</v>
      </c>
      <c r="H200" s="13" t="s">
        <v>672</v>
      </c>
    </row>
    <row r="201" spans="2:8" ht="16" customHeight="1" thickBot="1" x14ac:dyDescent="0.25">
      <c r="F201" s="5"/>
      <c r="G201" s="5"/>
      <c r="H201" s="13"/>
    </row>
    <row r="202" spans="2:8" ht="19" customHeight="1" x14ac:dyDescent="0.2">
      <c r="B202" s="89" t="str">
        <f>Header!B3</f>
        <v>[SCHOOL NAME]</v>
      </c>
      <c r="C202" s="90"/>
      <c r="D202" s="91"/>
      <c r="E202" s="23"/>
      <c r="F202" s="89" t="str">
        <f>Header!B3</f>
        <v>[SCHOOL NAME]</v>
      </c>
      <c r="G202" s="90"/>
      <c r="H202" s="91"/>
    </row>
    <row r="203" spans="2:8" ht="19" customHeight="1" x14ac:dyDescent="0.2">
      <c r="B203" s="100" t="str">
        <f>Header!B4</f>
        <v>[ADDRESS]</v>
      </c>
      <c r="C203" s="101"/>
      <c r="D203" s="102"/>
      <c r="E203" s="23"/>
      <c r="F203" s="100" t="str">
        <f>Header!B4</f>
        <v>[ADDRESS]</v>
      </c>
      <c r="G203" s="101"/>
      <c r="H203" s="102"/>
    </row>
    <row r="204" spans="2:8" ht="19" x14ac:dyDescent="0.2">
      <c r="B204" s="100" t="str">
        <f>Header!B5</f>
        <v>[CITY, STATE ZIP]</v>
      </c>
      <c r="C204" s="101"/>
      <c r="D204" s="102"/>
      <c r="E204" s="23"/>
      <c r="F204" s="100" t="str">
        <f>Header!B5</f>
        <v>[CITY, STATE ZIP]</v>
      </c>
      <c r="G204" s="101"/>
      <c r="H204" s="102"/>
    </row>
    <row r="205" spans="2:8" x14ac:dyDescent="0.2">
      <c r="B205" s="14"/>
      <c r="C205" s="2"/>
      <c r="D205" s="15"/>
      <c r="E205" s="23"/>
      <c r="F205" s="14"/>
      <c r="G205" s="2"/>
      <c r="H205" s="15"/>
    </row>
    <row r="206" spans="2:8" ht="16" customHeight="1" thickBot="1" x14ac:dyDescent="0.25">
      <c r="B206" s="16"/>
      <c r="C206" s="17"/>
      <c r="D206" s="18"/>
      <c r="E206" s="23"/>
      <c r="F206" s="16"/>
      <c r="G206" s="17"/>
      <c r="H206" s="18"/>
    </row>
    <row r="207" spans="2:8" ht="17" customHeight="1" thickBot="1" x14ac:dyDescent="0.25">
      <c r="B207" s="103">
        <f>Master!D331</f>
        <v>0</v>
      </c>
      <c r="C207" s="104"/>
      <c r="D207" s="105"/>
      <c r="E207" s="23"/>
      <c r="F207" s="103">
        <f>Master!D347</f>
        <v>0</v>
      </c>
      <c r="G207" s="104"/>
      <c r="H207" s="105"/>
    </row>
    <row r="208" spans="2:8" ht="17" customHeight="1" thickBot="1" x14ac:dyDescent="0.25">
      <c r="B208" s="3" t="s">
        <v>638</v>
      </c>
      <c r="C208" s="3" t="s">
        <v>639</v>
      </c>
      <c r="D208" s="19" t="s">
        <v>2</v>
      </c>
      <c r="E208" s="23"/>
      <c r="F208" s="3" t="s">
        <v>638</v>
      </c>
      <c r="G208" s="3" t="s">
        <v>639</v>
      </c>
      <c r="H208" s="19" t="s">
        <v>2</v>
      </c>
    </row>
    <row r="209" spans="2:8" x14ac:dyDescent="0.2">
      <c r="B209" s="5" t="str">
        <f>Master!A331&amp;" Field"</f>
        <v>Z765 Field</v>
      </c>
      <c r="C209" s="5" t="str">
        <f>Master!A331&amp;" Panel"</f>
        <v>Z765 Panel</v>
      </c>
      <c r="D209" s="13">
        <f>Master!B331</f>
        <v>0</v>
      </c>
      <c r="E209" s="23"/>
      <c r="F209" s="5" t="str">
        <f>Master!A347&amp;" Field"</f>
        <v>Z781 Field</v>
      </c>
      <c r="G209" s="5" t="str">
        <f>Master!A347&amp;" Panel"</f>
        <v>Z781 Panel</v>
      </c>
      <c r="H209" s="13">
        <f>Master!B347</f>
        <v>0</v>
      </c>
    </row>
    <row r="210" spans="2:8" x14ac:dyDescent="0.2">
      <c r="B210" s="5" t="str">
        <f>Master!A332&amp;" Field"</f>
        <v>Z766 Field</v>
      </c>
      <c r="C210" s="5" t="str">
        <f>Master!A332&amp;" Panel"</f>
        <v>Z766 Panel</v>
      </c>
      <c r="D210" s="13">
        <f>Master!B332</f>
        <v>0</v>
      </c>
      <c r="E210" s="23"/>
      <c r="F210" s="5" t="str">
        <f>Master!A348&amp;" Field"</f>
        <v>Z782 Field</v>
      </c>
      <c r="G210" s="5" t="str">
        <f>Master!A348&amp;" Panel"</f>
        <v>Z782 Panel</v>
      </c>
      <c r="H210" s="13">
        <f>Master!B348</f>
        <v>0</v>
      </c>
    </row>
    <row r="211" spans="2:8" x14ac:dyDescent="0.2">
      <c r="B211" s="5" t="str">
        <f>Master!A333&amp;" Field"</f>
        <v>Z767 Field</v>
      </c>
      <c r="C211" s="5" t="str">
        <f>Master!A333&amp;" Panel"</f>
        <v>Z767 Panel</v>
      </c>
      <c r="D211" s="13">
        <f>Master!B333</f>
        <v>0</v>
      </c>
      <c r="E211" s="23"/>
      <c r="F211" s="5" t="str">
        <f>Master!A349&amp;" Field"</f>
        <v>Z783 Field</v>
      </c>
      <c r="G211" s="5" t="str">
        <f>Master!A349&amp;" Panel"</f>
        <v>Z783 Panel</v>
      </c>
      <c r="H211" s="13">
        <f>Master!B349</f>
        <v>0</v>
      </c>
    </row>
    <row r="212" spans="2:8" x14ac:dyDescent="0.2">
      <c r="B212" s="5" t="str">
        <f>Master!A334&amp;" Field"</f>
        <v>Z768 Field</v>
      </c>
      <c r="C212" s="5" t="str">
        <f>Master!A334&amp;" Panel"</f>
        <v>Z768 Panel</v>
      </c>
      <c r="D212" s="13">
        <f>Master!B334</f>
        <v>0</v>
      </c>
      <c r="E212" s="23"/>
      <c r="F212" s="5" t="str">
        <f>Master!A350&amp;" Field"</f>
        <v>Z784 Field</v>
      </c>
      <c r="G212" s="5" t="str">
        <f>Master!A350&amp;" Panel"</f>
        <v>Z784 Panel</v>
      </c>
      <c r="H212" s="13">
        <f>Master!B350</f>
        <v>0</v>
      </c>
    </row>
    <row r="213" spans="2:8" x14ac:dyDescent="0.2">
      <c r="B213" s="5" t="str">
        <f>Master!A335&amp;" Field"</f>
        <v>Z769 Field</v>
      </c>
      <c r="C213" s="5" t="str">
        <f>Master!A335&amp;" Panel"</f>
        <v>Z769 Panel</v>
      </c>
      <c r="D213" s="13">
        <f>Master!B335</f>
        <v>0</v>
      </c>
      <c r="E213" s="23"/>
      <c r="F213" s="5" t="str">
        <f>Master!A351&amp;" Field"</f>
        <v>Z785 Field</v>
      </c>
      <c r="G213" s="5" t="str">
        <f>Master!A351&amp;" Panel"</f>
        <v>Z785 Panel</v>
      </c>
      <c r="H213" s="13">
        <f>Master!B351</f>
        <v>0</v>
      </c>
    </row>
    <row r="214" spans="2:8" x14ac:dyDescent="0.2">
      <c r="B214" s="5" t="str">
        <f>Master!A336&amp;" Field"</f>
        <v>Z770 Field</v>
      </c>
      <c r="C214" s="5" t="str">
        <f>Master!A336&amp;" Panel"</f>
        <v>Z770 Panel</v>
      </c>
      <c r="D214" s="13">
        <f>Master!B336</f>
        <v>0</v>
      </c>
      <c r="E214" s="23"/>
      <c r="F214" s="5" t="str">
        <f>Master!A352&amp;" Field"</f>
        <v>Z786 Field</v>
      </c>
      <c r="G214" s="5" t="str">
        <f>Master!A352&amp;" Panel"</f>
        <v>Z786 Panel</v>
      </c>
      <c r="H214" s="13">
        <f>Master!B352</f>
        <v>0</v>
      </c>
    </row>
    <row r="215" spans="2:8" x14ac:dyDescent="0.2">
      <c r="B215" s="5" t="str">
        <f>Master!A337&amp;" Field"</f>
        <v>Z771 Field</v>
      </c>
      <c r="C215" s="5" t="str">
        <f>Master!A337&amp;" Panel"</f>
        <v>Z771 Panel</v>
      </c>
      <c r="D215" s="13">
        <f>Master!B337</f>
        <v>0</v>
      </c>
      <c r="E215" s="23"/>
      <c r="F215" s="5" t="str">
        <f>Master!A353&amp;" Field"</f>
        <v>Z787 Field</v>
      </c>
      <c r="G215" s="5" t="str">
        <f>Master!A353&amp;" Panel"</f>
        <v>Z787 Panel</v>
      </c>
      <c r="H215" s="13">
        <f>Master!B353</f>
        <v>0</v>
      </c>
    </row>
    <row r="216" spans="2:8" x14ac:dyDescent="0.2">
      <c r="B216" s="5" t="str">
        <f>Master!A338&amp;" Field"</f>
        <v>Z772 Field</v>
      </c>
      <c r="C216" s="5" t="str">
        <f>Master!A338&amp;" Panel"</f>
        <v>Z772 Panel</v>
      </c>
      <c r="D216" s="13">
        <f>Master!B338</f>
        <v>0</v>
      </c>
      <c r="E216" s="23"/>
      <c r="F216" s="5" t="str">
        <f>Master!A354&amp;" Field"</f>
        <v>Z788 Field</v>
      </c>
      <c r="G216" s="5" t="str">
        <f>Master!A354&amp;" Panel"</f>
        <v>Z788 Panel</v>
      </c>
      <c r="H216" s="13">
        <f>Master!B354</f>
        <v>0</v>
      </c>
    </row>
    <row r="217" spans="2:8" x14ac:dyDescent="0.2">
      <c r="B217" s="5" t="str">
        <f>Master!A339&amp;" Field"</f>
        <v>Z773 Field</v>
      </c>
      <c r="C217" s="5" t="str">
        <f>Master!A339&amp;" Panel"</f>
        <v>Z773 Panel</v>
      </c>
      <c r="D217" s="13">
        <f>Master!B339</f>
        <v>0</v>
      </c>
      <c r="E217" s="23"/>
      <c r="F217" s="5" t="str">
        <f>Master!A355&amp;" Field"</f>
        <v>Z789 Field</v>
      </c>
      <c r="G217" s="5" t="str">
        <f>Master!A355&amp;" Panel"</f>
        <v>Z789 Panel</v>
      </c>
      <c r="H217" s="13">
        <f>Master!B355</f>
        <v>0</v>
      </c>
    </row>
    <row r="218" spans="2:8" x14ac:dyDescent="0.2">
      <c r="B218" s="5" t="str">
        <f>Master!A340&amp;" Field"</f>
        <v>Z774 Field</v>
      </c>
      <c r="C218" s="5" t="str">
        <f>Master!A340&amp;" Panel"</f>
        <v>Z774 Panel</v>
      </c>
      <c r="D218" s="13">
        <f>Master!B340</f>
        <v>0</v>
      </c>
      <c r="E218" s="23"/>
      <c r="F218" s="5" t="str">
        <f>Master!A356&amp;" Field"</f>
        <v>Z790 Field</v>
      </c>
      <c r="G218" s="5" t="str">
        <f>Master!A356&amp;" Panel"</f>
        <v>Z790 Panel</v>
      </c>
      <c r="H218" s="13">
        <f>Master!B356</f>
        <v>0</v>
      </c>
    </row>
    <row r="219" spans="2:8" x14ac:dyDescent="0.2">
      <c r="B219" s="5" t="str">
        <f>Master!A341&amp;" Field"</f>
        <v>Z775 Field</v>
      </c>
      <c r="C219" s="5" t="str">
        <f>Master!A341&amp;" Panel"</f>
        <v>Z775 Panel</v>
      </c>
      <c r="D219" s="13">
        <f>Master!B341</f>
        <v>0</v>
      </c>
      <c r="E219" s="23"/>
      <c r="F219" s="5" t="str">
        <f>Master!A357&amp;" Field"</f>
        <v>Z791 Field</v>
      </c>
      <c r="G219" s="5" t="str">
        <f>Master!A357&amp;" Panel"</f>
        <v>Z791 Panel</v>
      </c>
      <c r="H219" s="13">
        <f>Master!B357</f>
        <v>0</v>
      </c>
    </row>
    <row r="220" spans="2:8" x14ac:dyDescent="0.2">
      <c r="B220" s="5" t="str">
        <f>Master!A342&amp;" Field"</f>
        <v>Z776 Field</v>
      </c>
      <c r="C220" s="5" t="str">
        <f>Master!A342&amp;" Panel"</f>
        <v>Z776 Panel</v>
      </c>
      <c r="D220" s="13">
        <f>Master!B342</f>
        <v>0</v>
      </c>
      <c r="E220" s="23"/>
      <c r="F220" s="5" t="str">
        <f>Master!A358&amp;" Field"</f>
        <v>Z792 Field</v>
      </c>
      <c r="G220" s="5" t="str">
        <f>Master!A358&amp;" Panel"</f>
        <v>Z792 Panel</v>
      </c>
      <c r="H220" s="13">
        <f>Master!B358</f>
        <v>0</v>
      </c>
    </row>
    <row r="221" spans="2:8" x14ac:dyDescent="0.2">
      <c r="B221" s="5" t="str">
        <f>Master!A343&amp;" Field"</f>
        <v>Z777 Field</v>
      </c>
      <c r="C221" s="5" t="str">
        <f>Master!A343&amp;" Panel"</f>
        <v>Z777 Panel</v>
      </c>
      <c r="D221" s="13">
        <f>Master!B343</f>
        <v>0</v>
      </c>
      <c r="E221" s="23"/>
      <c r="F221" s="5" t="str">
        <f>Master!A359&amp;" Field"</f>
        <v>Z793 Field</v>
      </c>
      <c r="G221" s="5" t="str">
        <f>Master!A359&amp;" Panel"</f>
        <v>Z793 Panel</v>
      </c>
      <c r="H221" s="13">
        <f>Master!B359</f>
        <v>0</v>
      </c>
    </row>
    <row r="222" spans="2:8" x14ac:dyDescent="0.2">
      <c r="B222" s="5" t="str">
        <f>Master!A344&amp;" Field"</f>
        <v>Z778 Field</v>
      </c>
      <c r="C222" s="5" t="str">
        <f>Master!A344&amp;" Panel"</f>
        <v>Z778 Panel</v>
      </c>
      <c r="D222" s="13">
        <f>Master!B344</f>
        <v>0</v>
      </c>
      <c r="E222" s="23"/>
      <c r="F222" s="5" t="str">
        <f>Master!A360&amp;" Field"</f>
        <v>Z794 Field</v>
      </c>
      <c r="G222" s="5" t="str">
        <f>Master!A360&amp;" Panel"</f>
        <v>Z794 Panel</v>
      </c>
      <c r="H222" s="13">
        <f>Master!B360</f>
        <v>0</v>
      </c>
    </row>
    <row r="223" spans="2:8" x14ac:dyDescent="0.2">
      <c r="B223" s="5" t="str">
        <f>Master!A345&amp;" Field"</f>
        <v>Z779 Field</v>
      </c>
      <c r="C223" s="5" t="str">
        <f>Master!A345&amp;" Panel"</f>
        <v>Z779 Panel</v>
      </c>
      <c r="D223" s="13" t="str">
        <f>Master!B345</f>
        <v>PS-17: A/C LOSS</v>
      </c>
      <c r="E223" s="23"/>
      <c r="F223" s="5" t="str">
        <f>Master!A361&amp;" Field"</f>
        <v>Z795 Field</v>
      </c>
      <c r="G223" s="5" t="str">
        <f>Master!A361&amp;" Panel"</f>
        <v>Z795 Panel</v>
      </c>
      <c r="H223" s="13" t="str">
        <f>Master!B361</f>
        <v>PS-18: A/C LOSS</v>
      </c>
    </row>
    <row r="224" spans="2:8" x14ac:dyDescent="0.2">
      <c r="B224" s="5" t="str">
        <f>Master!A346&amp;" Field"</f>
        <v>Z780 Field</v>
      </c>
      <c r="C224" s="5" t="str">
        <f>Master!A346&amp;" Panel"</f>
        <v>Z780 Panel</v>
      </c>
      <c r="D224" s="13" t="str">
        <f>Master!B346</f>
        <v>PS-17: BATT. TRBL.</v>
      </c>
      <c r="E224" s="23"/>
      <c r="F224" s="5" t="str">
        <f>Master!A362&amp;" Field"</f>
        <v>Z796 Field</v>
      </c>
      <c r="G224" s="5" t="str">
        <f>Master!A362&amp;" Panel"</f>
        <v>Z796 Panel</v>
      </c>
      <c r="H224" s="13" t="str">
        <f>Master!B362</f>
        <v>PS-18: BATT. TRBL.</v>
      </c>
    </row>
    <row r="225" spans="2:8" x14ac:dyDescent="0.2">
      <c r="B225" s="5" t="s">
        <v>640</v>
      </c>
      <c r="C225" s="5" t="s">
        <v>673</v>
      </c>
      <c r="D225" s="13" t="s">
        <v>674</v>
      </c>
      <c r="E225" s="23"/>
      <c r="F225" s="5" t="s">
        <v>640</v>
      </c>
      <c r="G225" s="5" t="s">
        <v>675</v>
      </c>
      <c r="H225" s="13" t="s">
        <v>676</v>
      </c>
    </row>
    <row r="226" spans="2:8" ht="16" customHeight="1" thickBot="1" x14ac:dyDescent="0.25">
      <c r="B226" s="23"/>
      <c r="C226" s="23"/>
      <c r="D226" s="23"/>
    </row>
    <row r="227" spans="2:8" ht="19" customHeight="1" x14ac:dyDescent="0.2">
      <c r="B227" s="99" t="str">
        <f>Header!B3</f>
        <v>[SCHOOL NAME]</v>
      </c>
      <c r="C227" s="90"/>
      <c r="D227" s="91"/>
      <c r="F227" s="89" t="str">
        <f>Header!B3</f>
        <v>[SCHOOL NAME]</v>
      </c>
      <c r="G227" s="90"/>
      <c r="H227" s="91"/>
    </row>
    <row r="228" spans="2:8" ht="19" customHeight="1" x14ac:dyDescent="0.2">
      <c r="B228" s="92" t="str">
        <f>Header!B4</f>
        <v>[ADDRESS]</v>
      </c>
      <c r="C228" s="93"/>
      <c r="D228" s="94"/>
      <c r="F228" s="95">
        <f>Header!B229</f>
        <v>0</v>
      </c>
      <c r="G228" s="93"/>
      <c r="H228" s="94"/>
    </row>
    <row r="229" spans="2:8" ht="19" customHeight="1" x14ac:dyDescent="0.2">
      <c r="B229" s="92" t="str">
        <f>Header!B5</f>
        <v>[CITY, STATE ZIP]</v>
      </c>
      <c r="C229" s="93"/>
      <c r="D229" s="94"/>
      <c r="F229" s="95">
        <f>Header!B230</f>
        <v>0</v>
      </c>
      <c r="G229" s="93"/>
      <c r="H229" s="94"/>
    </row>
    <row r="230" spans="2:8" x14ac:dyDescent="0.2">
      <c r="B230" s="39"/>
      <c r="C230" s="40"/>
      <c r="D230" s="41"/>
      <c r="F230" s="14"/>
      <c r="G230" s="2"/>
      <c r="H230" s="15"/>
    </row>
    <row r="231" spans="2:8" ht="16" customHeight="1" thickBot="1" x14ac:dyDescent="0.25">
      <c r="B231" s="42"/>
      <c r="C231" s="43"/>
      <c r="D231" s="44"/>
      <c r="F231" s="16"/>
      <c r="G231" s="17"/>
      <c r="H231" s="18"/>
    </row>
    <row r="232" spans="2:8" ht="17" customHeight="1" thickBot="1" x14ac:dyDescent="0.25">
      <c r="B232" s="96">
        <f>Master!D367</f>
        <v>0</v>
      </c>
      <c r="C232" s="97"/>
      <c r="D232" s="98"/>
      <c r="F232" s="103">
        <f>Master!D383</f>
        <v>0</v>
      </c>
      <c r="G232" s="104"/>
      <c r="H232" s="105"/>
    </row>
    <row r="233" spans="2:8" ht="17" customHeight="1" thickBot="1" x14ac:dyDescent="0.25">
      <c r="B233" s="45" t="s">
        <v>638</v>
      </c>
      <c r="C233" s="46" t="s">
        <v>639</v>
      </c>
      <c r="D233" s="47" t="s">
        <v>2</v>
      </c>
      <c r="F233" s="3" t="s">
        <v>638</v>
      </c>
      <c r="G233" s="3" t="s">
        <v>639</v>
      </c>
      <c r="H233" s="19" t="s">
        <v>2</v>
      </c>
    </row>
    <row r="234" spans="2:8" x14ac:dyDescent="0.2">
      <c r="B234" s="30" t="str">
        <f>Master!A367&amp;" Field"</f>
        <v>Z801 Field</v>
      </c>
      <c r="C234" s="31" t="str">
        <f>Master!A367&amp;" Panel"</f>
        <v>Z801 Panel</v>
      </c>
      <c r="D234" s="59">
        <f>Master!B367</f>
        <v>0</v>
      </c>
      <c r="F234" s="5" t="str">
        <f>Master!A383&amp;" Field"</f>
        <v>Z817 Field</v>
      </c>
      <c r="G234" s="5" t="str">
        <f>Master!A383&amp;" Panel"</f>
        <v>Z817 Panel</v>
      </c>
      <c r="H234" s="13">
        <f>Master!B383</f>
        <v>0</v>
      </c>
    </row>
    <row r="235" spans="2:8" x14ac:dyDescent="0.2">
      <c r="B235" s="33" t="str">
        <f>Master!A368&amp;" Field"</f>
        <v>Z802 Field</v>
      </c>
      <c r="C235" s="34" t="str">
        <f>Master!A368&amp;" Panel"</f>
        <v>Z802 Panel</v>
      </c>
      <c r="D235" s="61">
        <f>Master!B368</f>
        <v>0</v>
      </c>
      <c r="F235" s="5" t="str">
        <f>Master!A384&amp;" Field"</f>
        <v>Z818 Field</v>
      </c>
      <c r="G235" s="5" t="str">
        <f>Master!A384&amp;" Panel"</f>
        <v>Z818 Panel</v>
      </c>
      <c r="H235" s="13">
        <f>Master!B384</f>
        <v>0</v>
      </c>
    </row>
    <row r="236" spans="2:8" x14ac:dyDescent="0.2">
      <c r="B236" s="30" t="str">
        <f>Master!A369&amp;" Field"</f>
        <v>Z803 Field</v>
      </c>
      <c r="C236" s="31" t="str">
        <f>Master!A369&amp;" Panel"</f>
        <v>Z803 Panel</v>
      </c>
      <c r="D236" s="62">
        <f>Master!B369</f>
        <v>0</v>
      </c>
      <c r="F236" s="5" t="str">
        <f>Master!A385&amp;" Field"</f>
        <v>Z819 Field</v>
      </c>
      <c r="G236" s="5" t="str">
        <f>Master!A385&amp;" Panel"</f>
        <v>Z819 Panel</v>
      </c>
      <c r="H236" s="13">
        <f>Master!B385</f>
        <v>0</v>
      </c>
    </row>
    <row r="237" spans="2:8" x14ac:dyDescent="0.2">
      <c r="B237" s="33" t="str">
        <f>Master!A370&amp;" Field"</f>
        <v>Z804 Field</v>
      </c>
      <c r="C237" s="34" t="str">
        <f>Master!A370&amp;" Panel"</f>
        <v>Z804 Panel</v>
      </c>
      <c r="D237" s="63">
        <f>Master!B370</f>
        <v>0</v>
      </c>
      <c r="F237" s="5" t="str">
        <f>Master!A386&amp;" Field"</f>
        <v>Z820 Field</v>
      </c>
      <c r="G237" s="5" t="str">
        <f>Master!A386&amp;" Panel"</f>
        <v>Z820 Panel</v>
      </c>
      <c r="H237" s="13">
        <f>Master!B386</f>
        <v>0</v>
      </c>
    </row>
    <row r="238" spans="2:8" x14ac:dyDescent="0.2">
      <c r="B238" s="30" t="str">
        <f>Master!A371&amp;" Field"</f>
        <v>Z805 Field</v>
      </c>
      <c r="C238" s="31" t="str">
        <f>Master!A371&amp;" Panel"</f>
        <v>Z805 Panel</v>
      </c>
      <c r="D238" s="64">
        <f>Master!B371</f>
        <v>0</v>
      </c>
      <c r="F238" s="5" t="str">
        <f>Master!A387&amp;" Field"</f>
        <v>Z821 Field</v>
      </c>
      <c r="G238" s="5" t="str">
        <f>Master!A387&amp;" Panel"</f>
        <v>Z821 Panel</v>
      </c>
      <c r="H238" s="13">
        <f>Master!B387</f>
        <v>0</v>
      </c>
    </row>
    <row r="239" spans="2:8" x14ac:dyDescent="0.2">
      <c r="B239" s="33" t="str">
        <f>Master!A372&amp;" Field"</f>
        <v>Z806 Field</v>
      </c>
      <c r="C239" s="34" t="str">
        <f>Master!A372&amp;" Panel"</f>
        <v>Z806 Panel</v>
      </c>
      <c r="D239" s="63">
        <f>Master!B372</f>
        <v>0</v>
      </c>
      <c r="F239" s="5" t="str">
        <f>Master!A388&amp;" Field"</f>
        <v>Z822 Field</v>
      </c>
      <c r="G239" s="5" t="str">
        <f>Master!A388&amp;" Panel"</f>
        <v>Z822 Panel</v>
      </c>
      <c r="H239" s="13">
        <f>Master!B388</f>
        <v>0</v>
      </c>
    </row>
    <row r="240" spans="2:8" x14ac:dyDescent="0.2">
      <c r="B240" s="30" t="str">
        <f>Master!A373&amp;" Field"</f>
        <v>Z807 Field</v>
      </c>
      <c r="C240" s="31" t="str">
        <f>Master!A373&amp;" Panel"</f>
        <v>Z807 Panel</v>
      </c>
      <c r="D240" s="64">
        <f>Master!B373</f>
        <v>0</v>
      </c>
      <c r="F240" s="5" t="str">
        <f>Master!A389&amp;" Field"</f>
        <v>Z823 Field</v>
      </c>
      <c r="G240" s="5" t="str">
        <f>Master!A389&amp;" Panel"</f>
        <v>Z823 Panel</v>
      </c>
      <c r="H240" s="13">
        <f>Master!B389</f>
        <v>0</v>
      </c>
    </row>
    <row r="241" spans="2:8" x14ac:dyDescent="0.2">
      <c r="B241" s="33" t="str">
        <f>Master!A374&amp;" Field"</f>
        <v>Z808 Field</v>
      </c>
      <c r="C241" s="34" t="str">
        <f>Master!A374&amp;" Panel"</f>
        <v>Z808 Panel</v>
      </c>
      <c r="D241" s="61">
        <f>Master!B374</f>
        <v>0</v>
      </c>
      <c r="F241" s="5" t="str">
        <f>Master!A390&amp;" Field"</f>
        <v>Z824 Field</v>
      </c>
      <c r="G241" s="5" t="str">
        <f>Master!A390&amp;" Panel"</f>
        <v>Z824 Panel</v>
      </c>
      <c r="H241" s="13">
        <f>Master!B390</f>
        <v>0</v>
      </c>
    </row>
    <row r="242" spans="2:8" x14ac:dyDescent="0.2">
      <c r="B242" s="30" t="str">
        <f>Master!A375&amp;" Field"</f>
        <v>Z809 Field</v>
      </c>
      <c r="C242" s="31" t="str">
        <f>Master!A375&amp;" Panel"</f>
        <v>Z809 Panel</v>
      </c>
      <c r="D242" s="62">
        <f>Master!B375</f>
        <v>0</v>
      </c>
      <c r="F242" s="5" t="str">
        <f>Master!A391&amp;" Field"</f>
        <v>Z825 Field</v>
      </c>
      <c r="G242" s="5" t="str">
        <f>Master!A391&amp;" Panel"</f>
        <v>Z825 Panel</v>
      </c>
      <c r="H242" s="13">
        <f>Master!B391</f>
        <v>0</v>
      </c>
    </row>
    <row r="243" spans="2:8" x14ac:dyDescent="0.2">
      <c r="B243" s="33" t="str">
        <f>Master!A376&amp;" Field"</f>
        <v>Z810 Field</v>
      </c>
      <c r="C243" s="34" t="str">
        <f>Master!A376&amp;" Panel"</f>
        <v>Z810 Panel</v>
      </c>
      <c r="D243" s="61">
        <f>Master!B376</f>
        <v>0</v>
      </c>
      <c r="F243" s="5" t="str">
        <f>Master!A392&amp;" Field"</f>
        <v>Z826 Field</v>
      </c>
      <c r="G243" s="5" t="str">
        <f>Master!A392&amp;" Panel"</f>
        <v>Z826 Panel</v>
      </c>
      <c r="H243" s="13">
        <f>Master!B392</f>
        <v>0</v>
      </c>
    </row>
    <row r="244" spans="2:8" x14ac:dyDescent="0.2">
      <c r="B244" s="30" t="str">
        <f>Master!A377&amp;" Field"</f>
        <v>Z811 Field</v>
      </c>
      <c r="C244" s="31" t="str">
        <f>Master!A377&amp;" Panel"</f>
        <v>Z811 Panel</v>
      </c>
      <c r="D244" s="65">
        <f>Master!B377</f>
        <v>0</v>
      </c>
      <c r="F244" s="5" t="str">
        <f>Master!A393&amp;" Field"</f>
        <v>Z827 Field</v>
      </c>
      <c r="G244" s="5" t="str">
        <f>Master!A393&amp;" Panel"</f>
        <v>Z827 Panel</v>
      </c>
      <c r="H244" s="13">
        <f>Master!B393</f>
        <v>0</v>
      </c>
    </row>
    <row r="245" spans="2:8" x14ac:dyDescent="0.2">
      <c r="B245" s="33" t="str">
        <f>Master!A378&amp;" Field"</f>
        <v>Z812 Field</v>
      </c>
      <c r="C245" s="34" t="str">
        <f>Master!A378&amp;" Panel"</f>
        <v>Z812 Panel</v>
      </c>
      <c r="D245" s="61">
        <f>Master!B378</f>
        <v>0</v>
      </c>
      <c r="F245" s="5" t="str">
        <f>Master!A394&amp;" Field"</f>
        <v>Z828 Field</v>
      </c>
      <c r="G245" s="5" t="str">
        <f>Master!A394&amp;" Panel"</f>
        <v>Z828 Panel</v>
      </c>
      <c r="H245" s="13">
        <f>Master!B394</f>
        <v>0</v>
      </c>
    </row>
    <row r="246" spans="2:8" x14ac:dyDescent="0.2">
      <c r="B246" s="30" t="str">
        <f>Master!A379&amp;" Field"</f>
        <v>Z813 Field</v>
      </c>
      <c r="C246" s="31" t="str">
        <f>Master!A379&amp;" Panel"</f>
        <v>Z813 Panel</v>
      </c>
      <c r="D246" s="65">
        <f>Master!B379</f>
        <v>0</v>
      </c>
      <c r="F246" s="5" t="str">
        <f>Master!A395&amp;" Field"</f>
        <v>Z829 Field</v>
      </c>
      <c r="G246" s="5" t="str">
        <f>Master!A395&amp;" Panel"</f>
        <v>Z829 Panel</v>
      </c>
      <c r="H246" s="13">
        <f>Master!B395</f>
        <v>0</v>
      </c>
    </row>
    <row r="247" spans="2:8" x14ac:dyDescent="0.2">
      <c r="B247" s="33" t="str">
        <f>Master!A380&amp;" Field"</f>
        <v>Z814 Field</v>
      </c>
      <c r="C247" s="34" t="str">
        <f>Master!A380&amp;" Panel"</f>
        <v>Z814 Panel</v>
      </c>
      <c r="D247" s="61">
        <f>Master!B380</f>
        <v>0</v>
      </c>
      <c r="F247" s="5" t="str">
        <f>Master!A396&amp;" Field"</f>
        <v>Z830 Field</v>
      </c>
      <c r="G247" s="5" t="str">
        <f>Master!A396&amp;" Panel"</f>
        <v>Z830 Panel</v>
      </c>
      <c r="H247" s="13">
        <f>Master!B396</f>
        <v>0</v>
      </c>
    </row>
    <row r="248" spans="2:8" x14ac:dyDescent="0.2">
      <c r="B248" s="30" t="str">
        <f>Master!A381&amp;" Field"</f>
        <v>Z815 Field</v>
      </c>
      <c r="C248" s="31" t="str">
        <f>Master!A381&amp;" Panel"</f>
        <v>Z815 Panel</v>
      </c>
      <c r="D248" s="65" t="str">
        <f>Master!B381</f>
        <v>PS-19: A/C LOSS</v>
      </c>
      <c r="F248" s="5" t="str">
        <f>Master!A397&amp;" Field"</f>
        <v>Z831 Field</v>
      </c>
      <c r="G248" s="5" t="str">
        <f>Master!A397&amp;" Panel"</f>
        <v>Z831 Panel</v>
      </c>
      <c r="H248" s="13" t="str">
        <f>Master!B397</f>
        <v>PS-20: A/C LOSS</v>
      </c>
    </row>
    <row r="249" spans="2:8" x14ac:dyDescent="0.2">
      <c r="B249" s="33" t="str">
        <f>Master!A382&amp;" Field"</f>
        <v>Z816 Field</v>
      </c>
      <c r="C249" s="34" t="str">
        <f>Master!A382&amp;" Panel"</f>
        <v>Z816 Panel</v>
      </c>
      <c r="D249" s="66" t="str">
        <f>Master!B382</f>
        <v>PS-19: BATT. TRBL.</v>
      </c>
      <c r="F249" s="5" t="str">
        <f>Master!A398&amp;" Field"</f>
        <v>Z832 Field</v>
      </c>
      <c r="G249" s="5" t="str">
        <f>Master!A398&amp;" Panel"</f>
        <v>Z832 Panel</v>
      </c>
      <c r="H249" s="13" t="str">
        <f>Master!B398</f>
        <v>PS-20: BATT. TRBL.</v>
      </c>
    </row>
    <row r="250" spans="2:8" ht="16" customHeight="1" thickBot="1" x14ac:dyDescent="0.25">
      <c r="B250" s="35" t="s">
        <v>640</v>
      </c>
      <c r="C250" s="36" t="s">
        <v>677</v>
      </c>
      <c r="D250" s="67" t="s">
        <v>678</v>
      </c>
      <c r="F250" s="5" t="s">
        <v>640</v>
      </c>
      <c r="G250" s="5" t="s">
        <v>679</v>
      </c>
      <c r="H250" s="13" t="s">
        <v>680</v>
      </c>
    </row>
    <row r="251" spans="2:8" ht="16" customHeight="1" thickBot="1" x14ac:dyDescent="0.25">
      <c r="B251" s="23"/>
      <c r="C251" s="23"/>
      <c r="D251" s="23"/>
    </row>
    <row r="252" spans="2:8" ht="19" customHeight="1" x14ac:dyDescent="0.2">
      <c r="B252" s="99" t="str">
        <f>Header!B3</f>
        <v>[SCHOOL NAME]</v>
      </c>
      <c r="C252" s="90"/>
      <c r="D252" s="91"/>
      <c r="E252" s="23"/>
      <c r="F252" s="99" t="str">
        <f>Header!B3</f>
        <v>[SCHOOL NAME]</v>
      </c>
      <c r="G252" s="90"/>
      <c r="H252" s="91"/>
    </row>
    <row r="253" spans="2:8" ht="19" customHeight="1" x14ac:dyDescent="0.2">
      <c r="B253" s="92" t="str">
        <f>Header!B4</f>
        <v>[ADDRESS]</v>
      </c>
      <c r="C253" s="93"/>
      <c r="D253" s="94"/>
      <c r="E253" s="23"/>
      <c r="F253" s="92" t="str">
        <f>Header!B4</f>
        <v>[ADDRESS]</v>
      </c>
      <c r="G253" s="93"/>
      <c r="H253" s="94"/>
    </row>
    <row r="254" spans="2:8" ht="19" customHeight="1" x14ac:dyDescent="0.2">
      <c r="B254" s="92" t="str">
        <f>Header!B5</f>
        <v>[CITY, STATE ZIP]</v>
      </c>
      <c r="C254" s="93"/>
      <c r="D254" s="94"/>
      <c r="E254" s="23"/>
      <c r="F254" s="92" t="str">
        <f>Header!B5</f>
        <v>[CITY, STATE ZIP]</v>
      </c>
      <c r="G254" s="93"/>
      <c r="H254" s="94"/>
    </row>
    <row r="255" spans="2:8" x14ac:dyDescent="0.2">
      <c r="B255" s="39"/>
      <c r="C255" s="40"/>
      <c r="D255" s="41"/>
      <c r="E255" s="23"/>
      <c r="F255" s="39"/>
      <c r="G255" s="40"/>
      <c r="H255" s="41"/>
    </row>
    <row r="256" spans="2:8" ht="16" customHeight="1" thickBot="1" x14ac:dyDescent="0.25">
      <c r="B256" s="42"/>
      <c r="C256" s="43"/>
      <c r="D256" s="44"/>
      <c r="E256" s="23"/>
      <c r="F256" s="42"/>
      <c r="G256" s="43"/>
      <c r="H256" s="44"/>
    </row>
    <row r="257" spans="2:8" ht="17" customHeight="1" thickBot="1" x14ac:dyDescent="0.25">
      <c r="B257" s="96">
        <f>Master!D399</f>
        <v>0</v>
      </c>
      <c r="C257" s="97"/>
      <c r="D257" s="98"/>
      <c r="E257" s="23"/>
      <c r="F257" s="96">
        <f>Master!D415</f>
        <v>0</v>
      </c>
      <c r="G257" s="97"/>
      <c r="H257" s="98"/>
    </row>
    <row r="258" spans="2:8" ht="17" customHeight="1" thickBot="1" x14ac:dyDescent="0.25">
      <c r="B258" s="45" t="s">
        <v>638</v>
      </c>
      <c r="C258" s="46" t="s">
        <v>639</v>
      </c>
      <c r="D258" s="47" t="s">
        <v>2</v>
      </c>
      <c r="E258" s="23"/>
      <c r="F258" s="51" t="s">
        <v>638</v>
      </c>
      <c r="G258" s="50" t="s">
        <v>639</v>
      </c>
      <c r="H258" s="52" t="s">
        <v>2</v>
      </c>
    </row>
    <row r="259" spans="2:8" x14ac:dyDescent="0.2">
      <c r="B259" s="30" t="str">
        <f>Master!A399&amp;" Field"</f>
        <v>Z833 Field</v>
      </c>
      <c r="C259" s="31" t="str">
        <f>Master!A399&amp;" Panel"</f>
        <v>Z833 Panel</v>
      </c>
      <c r="D259" s="59">
        <f>Master!B399</f>
        <v>0</v>
      </c>
      <c r="E259" s="23"/>
      <c r="F259" s="30" t="str">
        <f>Master!A415&amp;" Field"</f>
        <v>Z849 Field</v>
      </c>
      <c r="G259" s="48" t="str">
        <f>Master!A415&amp;" Panel"</f>
        <v>Z849 Panel</v>
      </c>
      <c r="H259" s="59">
        <f>Master!B415</f>
        <v>0</v>
      </c>
    </row>
    <row r="260" spans="2:8" x14ac:dyDescent="0.2">
      <c r="B260" s="33" t="str">
        <f>Master!A400&amp;" Field"</f>
        <v>Z834 Field</v>
      </c>
      <c r="C260" s="34" t="str">
        <f>Master!A400&amp;" Panel"</f>
        <v>Z834 Panel</v>
      </c>
      <c r="D260" s="61">
        <f>Master!B400</f>
        <v>0</v>
      </c>
      <c r="E260" s="23"/>
      <c r="F260" s="53" t="str">
        <f>Master!A416&amp;" Field"</f>
        <v>Z850 Field</v>
      </c>
      <c r="G260" s="54" t="str">
        <f>Master!A416&amp;" Panel"</f>
        <v>Z850 Panel</v>
      </c>
      <c r="H260" s="61">
        <f>Master!B416</f>
        <v>0</v>
      </c>
    </row>
    <row r="261" spans="2:8" x14ac:dyDescent="0.2">
      <c r="B261" s="30" t="str">
        <f>Master!A401&amp;" Field"</f>
        <v>Z835 Field</v>
      </c>
      <c r="C261" s="31" t="str">
        <f>Master!A401&amp;" Panel"</f>
        <v>Z835 Panel</v>
      </c>
      <c r="D261" s="62">
        <f>Master!B401</f>
        <v>0</v>
      </c>
      <c r="E261" s="23"/>
      <c r="F261" s="55" t="str">
        <f>Master!A417&amp;" Field"</f>
        <v>Z851 Field</v>
      </c>
      <c r="G261" s="49" t="str">
        <f>Master!A417&amp;" Panel"</f>
        <v>Z851 Panel</v>
      </c>
      <c r="H261" s="65">
        <f>Master!B417</f>
        <v>0</v>
      </c>
    </row>
    <row r="262" spans="2:8" x14ac:dyDescent="0.2">
      <c r="B262" s="33" t="str">
        <f>Master!A402&amp;" Field"</f>
        <v>Z836 Field</v>
      </c>
      <c r="C262" s="34" t="str">
        <f>Master!A402&amp;" Panel"</f>
        <v>Z836 Panel</v>
      </c>
      <c r="D262" s="61">
        <f>Master!B402</f>
        <v>0</v>
      </c>
      <c r="E262" s="23"/>
      <c r="F262" s="53" t="str">
        <f>Master!A418&amp;" Field"</f>
        <v>Z852 Field</v>
      </c>
      <c r="G262" s="54" t="str">
        <f>Master!A418&amp;" Panel"</f>
        <v>Z852 Panel</v>
      </c>
      <c r="H262" s="61">
        <f>Master!B418</f>
        <v>0</v>
      </c>
    </row>
    <row r="263" spans="2:8" x14ac:dyDescent="0.2">
      <c r="B263" s="30" t="str">
        <f>Master!A403&amp;" Field"</f>
        <v>Z837 Field</v>
      </c>
      <c r="C263" s="31" t="str">
        <f>Master!A403&amp;" Panel"</f>
        <v>Z837 Panel</v>
      </c>
      <c r="D263" s="62">
        <f>Master!B403</f>
        <v>0</v>
      </c>
      <c r="E263" s="23"/>
      <c r="F263" s="55" t="str">
        <f>Master!A419&amp;" Field"</f>
        <v>Z853 Field</v>
      </c>
      <c r="G263" s="49" t="str">
        <f>Master!A419&amp;" Panel"</f>
        <v>Z853 Panel</v>
      </c>
      <c r="H263" s="65">
        <f>Master!B419</f>
        <v>0</v>
      </c>
    </row>
    <row r="264" spans="2:8" x14ac:dyDescent="0.2">
      <c r="B264" s="33" t="str">
        <f>Master!A404&amp;" Field"</f>
        <v>Z838 Field</v>
      </c>
      <c r="C264" s="34" t="str">
        <f>Master!A404&amp;" Panel"</f>
        <v>Z838 Panel</v>
      </c>
      <c r="D264" s="63">
        <f>Master!B404</f>
        <v>0</v>
      </c>
      <c r="E264" s="23"/>
      <c r="F264" s="53" t="str">
        <f>Master!A420&amp;" Field"</f>
        <v>Z854 Field</v>
      </c>
      <c r="G264" s="54" t="str">
        <f>Master!A420&amp;" Panel"</f>
        <v>Z854 Panel</v>
      </c>
      <c r="H264" s="61">
        <f>Master!B420</f>
        <v>0</v>
      </c>
    </row>
    <row r="265" spans="2:8" x14ac:dyDescent="0.2">
      <c r="B265" s="30" t="str">
        <f>Master!A405&amp;" Field"</f>
        <v>Z839 Field</v>
      </c>
      <c r="C265" s="31" t="str">
        <f>Master!A405&amp;" Panel"</f>
        <v>Z839 Panel</v>
      </c>
      <c r="D265" s="65">
        <f>Master!B405</f>
        <v>0</v>
      </c>
      <c r="E265" s="23"/>
      <c r="F265" s="55" t="str">
        <f>Master!A421&amp;" Field"</f>
        <v>Z855 Field</v>
      </c>
      <c r="G265" s="49" t="str">
        <f>Master!A421&amp;" Panel"</f>
        <v>Z855 Panel</v>
      </c>
      <c r="H265" s="65">
        <f>Master!B421</f>
        <v>0</v>
      </c>
    </row>
    <row r="266" spans="2:8" x14ac:dyDescent="0.2">
      <c r="B266" s="33" t="str">
        <f>Master!A406&amp;" Field"</f>
        <v>Z840 Field</v>
      </c>
      <c r="C266" s="34" t="str">
        <f>Master!A406&amp;" Panel"</f>
        <v>Z840 Panel</v>
      </c>
      <c r="D266" s="61">
        <f>Master!B406</f>
        <v>0</v>
      </c>
      <c r="E266" s="23"/>
      <c r="F266" s="53" t="str">
        <f>Master!A422&amp;" Field"</f>
        <v>Z856 Field</v>
      </c>
      <c r="G266" s="54" t="str">
        <f>Master!A422&amp;" Panel"</f>
        <v>Z856 Panel</v>
      </c>
      <c r="H266" s="61">
        <f>Master!B422</f>
        <v>0</v>
      </c>
    </row>
    <row r="267" spans="2:8" x14ac:dyDescent="0.2">
      <c r="B267" s="30" t="str">
        <f>Master!A407&amp;" Field"</f>
        <v>Z841 Field</v>
      </c>
      <c r="C267" s="31" t="str">
        <f>Master!A407&amp;" Panel"</f>
        <v>Z841 Panel</v>
      </c>
      <c r="D267" s="62">
        <f>Master!B407</f>
        <v>0</v>
      </c>
      <c r="E267" s="23"/>
      <c r="F267" s="55" t="str">
        <f>Master!A423&amp;" Field"</f>
        <v>Z857 Field</v>
      </c>
      <c r="G267" s="49" t="str">
        <f>Master!A423&amp;" Panel"</f>
        <v>Z857 Panel</v>
      </c>
      <c r="H267" s="65">
        <f>Master!B423</f>
        <v>0</v>
      </c>
    </row>
    <row r="268" spans="2:8" x14ac:dyDescent="0.2">
      <c r="B268" s="33" t="str">
        <f>Master!A408&amp;" Field"</f>
        <v>Z842 Field</v>
      </c>
      <c r="C268" s="34" t="str">
        <f>Master!A408&amp;" Panel"</f>
        <v>Z842 Panel</v>
      </c>
      <c r="D268" s="61">
        <f>Master!B408</f>
        <v>0</v>
      </c>
      <c r="E268" s="23"/>
      <c r="F268" s="53" t="str">
        <f>Master!A424&amp;" Field"</f>
        <v>Z858 Field</v>
      </c>
      <c r="G268" s="54" t="str">
        <f>Master!A424&amp;" Panel"</f>
        <v>Z858 Panel</v>
      </c>
      <c r="H268" s="61">
        <f>Master!B424</f>
        <v>0</v>
      </c>
    </row>
    <row r="269" spans="2:8" x14ac:dyDescent="0.2">
      <c r="B269" s="30" t="str">
        <f>Master!A409&amp;" Field"</f>
        <v>Z843 Field</v>
      </c>
      <c r="C269" s="31" t="str">
        <f>Master!A409&amp;" Panel"</f>
        <v>Z843 Panel</v>
      </c>
      <c r="D269" s="65">
        <f>Master!B409</f>
        <v>0</v>
      </c>
      <c r="E269" s="23"/>
      <c r="F269" s="55" t="str">
        <f>Master!A425&amp;" Field"</f>
        <v>Z859 Field</v>
      </c>
      <c r="G269" s="49" t="str">
        <f>Master!A425&amp;" Panel"</f>
        <v>Z859 Panel</v>
      </c>
      <c r="H269" s="68">
        <f>Master!B425</f>
        <v>0</v>
      </c>
    </row>
    <row r="270" spans="2:8" x14ac:dyDescent="0.2">
      <c r="B270" s="33" t="str">
        <f>Master!A410&amp;" Field"</f>
        <v>Z844 Field</v>
      </c>
      <c r="C270" s="34" t="str">
        <f>Master!A410&amp;" Panel"</f>
        <v>Z844 Panel</v>
      </c>
      <c r="D270" s="66">
        <f>Master!B410</f>
        <v>0</v>
      </c>
      <c r="E270" s="23"/>
      <c r="F270" s="53" t="str">
        <f>Master!A426&amp;" Field"</f>
        <v>Z860 Field</v>
      </c>
      <c r="G270" s="54" t="str">
        <f>Master!A426&amp;" Panel"</f>
        <v>Z860 Panel</v>
      </c>
      <c r="H270" s="63">
        <f>Master!B426</f>
        <v>0</v>
      </c>
    </row>
    <row r="271" spans="2:8" x14ac:dyDescent="0.2">
      <c r="B271" s="30" t="str">
        <f>Master!A411&amp;" Field"</f>
        <v>Z845 Field</v>
      </c>
      <c r="C271" s="31" t="str">
        <f>Master!A411&amp;" Panel"</f>
        <v>Z845 Panel</v>
      </c>
      <c r="D271" s="65">
        <f>Master!B411</f>
        <v>0</v>
      </c>
      <c r="E271" s="23"/>
      <c r="F271" s="55" t="str">
        <f>Master!A427&amp;" Field"</f>
        <v>Z861 Field</v>
      </c>
      <c r="G271" s="49" t="str">
        <f>Master!A427&amp;" Panel"</f>
        <v>Z861 Panel</v>
      </c>
      <c r="H271" s="64">
        <f>Master!B427</f>
        <v>0</v>
      </c>
    </row>
    <row r="272" spans="2:8" x14ac:dyDescent="0.2">
      <c r="B272" s="33" t="str">
        <f>Master!A412&amp;" Field"</f>
        <v>Z846 Field</v>
      </c>
      <c r="C272" s="34" t="str">
        <f>Master!A412&amp;" Panel"</f>
        <v>Z846 Panel</v>
      </c>
      <c r="D272" s="61">
        <f>Master!B412</f>
        <v>0</v>
      </c>
      <c r="E272" s="23"/>
      <c r="F272" s="53" t="str">
        <f>Master!A428&amp;" Field"</f>
        <v>Z862 Field</v>
      </c>
      <c r="G272" s="54" t="str">
        <f>Master!A428&amp;" Panel"</f>
        <v>Z862 Panel</v>
      </c>
      <c r="H272" s="63">
        <f>Master!B428</f>
        <v>0</v>
      </c>
    </row>
    <row r="273" spans="2:8" x14ac:dyDescent="0.2">
      <c r="B273" s="30" t="str">
        <f>Master!A413&amp;" Field"</f>
        <v>Z847 Field</v>
      </c>
      <c r="C273" s="31" t="str">
        <f>Master!A413&amp;" Panel"</f>
        <v>Z847 Panel</v>
      </c>
      <c r="D273" s="60" t="str">
        <f>Master!B413</f>
        <v>PS-21: A/C LOSS</v>
      </c>
      <c r="E273" s="23"/>
      <c r="F273" s="55" t="str">
        <f>Master!A429&amp;" Field"</f>
        <v>Z863 Field</v>
      </c>
      <c r="G273" s="49" t="str">
        <f>Master!A429&amp;" Panel"</f>
        <v>Z863 Panel</v>
      </c>
      <c r="H273" s="65" t="str">
        <f>Master!B429</f>
        <v>PS-22: A/C LOSS</v>
      </c>
    </row>
    <row r="274" spans="2:8" x14ac:dyDescent="0.2">
      <c r="B274" s="33" t="str">
        <f>Master!A414&amp;" Field"</f>
        <v>Z848 Field</v>
      </c>
      <c r="C274" s="34" t="str">
        <f>Master!A414&amp;" Panel"</f>
        <v>Z848 Panel</v>
      </c>
      <c r="D274" s="66" t="str">
        <f>Master!B414</f>
        <v>PS-21: BATT. TRBL.</v>
      </c>
      <c r="E274" s="23"/>
      <c r="F274" s="53" t="str">
        <f>Master!A430&amp;" Field"</f>
        <v>Z864 Field</v>
      </c>
      <c r="G274" s="54" t="str">
        <f>Master!A430&amp;" Panel"</f>
        <v>Z864 Panel</v>
      </c>
      <c r="H274" s="61" t="str">
        <f>Master!B430</f>
        <v>PS-22: BATT. TRBL.</v>
      </c>
    </row>
    <row r="275" spans="2:8" ht="16" customHeight="1" thickBot="1" x14ac:dyDescent="0.25">
      <c r="B275" s="35" t="s">
        <v>640</v>
      </c>
      <c r="C275" s="36" t="s">
        <v>681</v>
      </c>
      <c r="D275" s="67" t="s">
        <v>682</v>
      </c>
      <c r="E275" s="23"/>
      <c r="F275" s="56" t="s">
        <v>640</v>
      </c>
      <c r="G275" s="57" t="s">
        <v>683</v>
      </c>
      <c r="H275" s="69" t="s">
        <v>684</v>
      </c>
    </row>
    <row r="276" spans="2:8" ht="16" customHeight="1" thickBot="1" x14ac:dyDescent="0.25">
      <c r="B276" s="23"/>
      <c r="C276" s="23"/>
      <c r="D276" s="23"/>
    </row>
    <row r="277" spans="2:8" ht="19" customHeight="1" x14ac:dyDescent="0.2">
      <c r="B277" s="99" t="str">
        <f>Header!B3</f>
        <v>[SCHOOL NAME]</v>
      </c>
      <c r="C277" s="90"/>
      <c r="D277" s="91"/>
      <c r="E277" s="23"/>
      <c r="F277" s="99" t="str">
        <f>Header!B3</f>
        <v>[SCHOOL NAME]</v>
      </c>
      <c r="G277" s="90"/>
      <c r="H277" s="91"/>
    </row>
    <row r="278" spans="2:8" ht="19" customHeight="1" x14ac:dyDescent="0.2">
      <c r="B278" s="92" t="str">
        <f>Header!B4</f>
        <v>[ADDRESS]</v>
      </c>
      <c r="C278" s="93"/>
      <c r="D278" s="94"/>
      <c r="E278" s="23"/>
      <c r="F278" s="92" t="str">
        <f>Header!B4</f>
        <v>[ADDRESS]</v>
      </c>
      <c r="G278" s="93"/>
      <c r="H278" s="94"/>
    </row>
    <row r="279" spans="2:8" ht="19" customHeight="1" x14ac:dyDescent="0.2">
      <c r="B279" s="92" t="str">
        <f>Header!B5</f>
        <v>[CITY, STATE ZIP]</v>
      </c>
      <c r="C279" s="93"/>
      <c r="D279" s="94"/>
      <c r="E279" s="23"/>
      <c r="F279" s="92" t="str">
        <f>Header!B5</f>
        <v>[CITY, STATE ZIP]</v>
      </c>
      <c r="G279" s="93"/>
      <c r="H279" s="94"/>
    </row>
    <row r="280" spans="2:8" x14ac:dyDescent="0.2">
      <c r="B280" s="39"/>
      <c r="C280" s="40"/>
      <c r="D280" s="41"/>
      <c r="E280" s="23"/>
      <c r="F280" s="39"/>
      <c r="G280" s="40"/>
      <c r="H280" s="41"/>
    </row>
    <row r="281" spans="2:8" ht="16" customHeight="1" thickBot="1" x14ac:dyDescent="0.25">
      <c r="B281" s="42"/>
      <c r="C281" s="43"/>
      <c r="D281" s="44"/>
      <c r="E281" s="23"/>
      <c r="F281" s="42"/>
      <c r="G281" s="43"/>
      <c r="H281" s="44"/>
    </row>
    <row r="282" spans="2:8" ht="17" customHeight="1" thickBot="1" x14ac:dyDescent="0.25">
      <c r="B282" s="96">
        <f>Master!D431</f>
        <v>0</v>
      </c>
      <c r="C282" s="97"/>
      <c r="D282" s="98"/>
      <c r="E282" s="23"/>
      <c r="F282" s="96">
        <f>Master!D447</f>
        <v>0</v>
      </c>
      <c r="G282" s="97"/>
      <c r="H282" s="98"/>
    </row>
    <row r="283" spans="2:8" ht="17" customHeight="1" thickBot="1" x14ac:dyDescent="0.25">
      <c r="B283" s="45" t="s">
        <v>638</v>
      </c>
      <c r="C283" s="46" t="s">
        <v>639</v>
      </c>
      <c r="D283" s="47" t="s">
        <v>2</v>
      </c>
      <c r="E283" s="23"/>
      <c r="F283" s="51" t="s">
        <v>638</v>
      </c>
      <c r="G283" s="50" t="s">
        <v>639</v>
      </c>
      <c r="H283" s="52" t="s">
        <v>2</v>
      </c>
    </row>
    <row r="284" spans="2:8" x14ac:dyDescent="0.2">
      <c r="B284" s="30" t="str">
        <f>Master!A431&amp;" Field"</f>
        <v>Z865 Field</v>
      </c>
      <c r="C284" s="31" t="str">
        <f>Master!A431&amp;" Panel"</f>
        <v>Z865 Panel</v>
      </c>
      <c r="D284" s="70">
        <f>Master!B431</f>
        <v>0</v>
      </c>
      <c r="E284" s="23"/>
      <c r="F284" s="30" t="str">
        <f>Master!A447&amp;" Field"</f>
        <v>Z881 Field</v>
      </c>
      <c r="G284" s="48" t="str">
        <f>Master!A447&amp;" Panel"</f>
        <v>Z881 Panel</v>
      </c>
      <c r="H284" s="72">
        <f>Master!B447</f>
        <v>0</v>
      </c>
    </row>
    <row r="285" spans="2:8" x14ac:dyDescent="0.2">
      <c r="B285" s="33" t="str">
        <f>Master!A432&amp;" Field"</f>
        <v>Z866 Field</v>
      </c>
      <c r="C285" s="34" t="str">
        <f>Master!A432&amp;" Panel"</f>
        <v>Z866 Panel</v>
      </c>
      <c r="D285" s="61">
        <f>Master!B432</f>
        <v>0</v>
      </c>
      <c r="E285" s="23"/>
      <c r="F285" s="53" t="str">
        <f>Master!A448&amp;" Field"</f>
        <v>Z882 Field</v>
      </c>
      <c r="G285" s="54" t="str">
        <f>Master!A448&amp;" Panel"</f>
        <v>Z882 Panel</v>
      </c>
      <c r="H285" s="61">
        <f>Master!B448</f>
        <v>0</v>
      </c>
    </row>
    <row r="286" spans="2:8" x14ac:dyDescent="0.2">
      <c r="B286" s="30" t="str">
        <f>Master!A433&amp;" Field"</f>
        <v>Z867 Field</v>
      </c>
      <c r="C286" s="31" t="str">
        <f>Master!A433&amp;" Panel"</f>
        <v>Z867 Panel</v>
      </c>
      <c r="D286" s="62">
        <f>Master!B433</f>
        <v>0</v>
      </c>
      <c r="E286" s="23"/>
      <c r="F286" s="55" t="str">
        <f>Master!A449&amp;" Field"</f>
        <v>Z883 Field</v>
      </c>
      <c r="G286" s="49" t="str">
        <f>Master!A449&amp;" Panel"</f>
        <v>Z883 Panel</v>
      </c>
      <c r="H286" s="68">
        <f>Master!B449</f>
        <v>0</v>
      </c>
    </row>
    <row r="287" spans="2:8" x14ac:dyDescent="0.2">
      <c r="B287" s="33" t="str">
        <f>Master!A434&amp;" Field"</f>
        <v>Z868 Field</v>
      </c>
      <c r="C287" s="34" t="str">
        <f>Master!A434&amp;" Panel"</f>
        <v>Z868 Panel</v>
      </c>
      <c r="D287" s="63">
        <f>Master!B434</f>
        <v>0</v>
      </c>
      <c r="E287" s="23"/>
      <c r="F287" s="53" t="str">
        <f>Master!A450&amp;" Field"</f>
        <v>Z884 Field</v>
      </c>
      <c r="G287" s="54" t="str">
        <f>Master!A450&amp;" Panel"</f>
        <v>Z884 Panel</v>
      </c>
      <c r="H287" s="61">
        <f>Master!B450</f>
        <v>0</v>
      </c>
    </row>
    <row r="288" spans="2:8" x14ac:dyDescent="0.2">
      <c r="B288" s="30" t="str">
        <f>Master!A435&amp;" Field"</f>
        <v>Z869 Field</v>
      </c>
      <c r="C288" s="31" t="str">
        <f>Master!A435&amp;" Panel"</f>
        <v>Z869 Panel</v>
      </c>
      <c r="D288" s="64">
        <f>Master!B435</f>
        <v>0</v>
      </c>
      <c r="E288" s="23"/>
      <c r="F288" s="55" t="str">
        <f>Master!A451&amp;" Field"</f>
        <v>Z885 Field</v>
      </c>
      <c r="G288" s="49" t="str">
        <f>Master!A451&amp;" Panel"</f>
        <v>Z885 Panel</v>
      </c>
      <c r="H288" s="65">
        <f>Master!B451</f>
        <v>0</v>
      </c>
    </row>
    <row r="289" spans="2:8" x14ac:dyDescent="0.2">
      <c r="B289" s="33" t="str">
        <f>Master!A436&amp;" Field"</f>
        <v>Z870 Field</v>
      </c>
      <c r="C289" s="34" t="str">
        <f>Master!A436&amp;" Panel"</f>
        <v>Z870 Panel</v>
      </c>
      <c r="D289" s="61">
        <f>Master!B436</f>
        <v>0</v>
      </c>
      <c r="E289" s="23"/>
      <c r="F289" s="53" t="str">
        <f>Master!A452&amp;" Field"</f>
        <v>Z886 Field</v>
      </c>
      <c r="G289" s="54" t="str">
        <f>Master!A452&amp;" Panel"</f>
        <v>Z886 Panel</v>
      </c>
      <c r="H289" s="61">
        <f>Master!B452</f>
        <v>0</v>
      </c>
    </row>
    <row r="290" spans="2:8" x14ac:dyDescent="0.2">
      <c r="B290" s="30" t="str">
        <f>Master!A437&amp;" Field"</f>
        <v>Z871 Field</v>
      </c>
      <c r="C290" s="31" t="str">
        <f>Master!A437&amp;" Panel"</f>
        <v>Z871 Panel</v>
      </c>
      <c r="D290" s="62">
        <f>Master!B437</f>
        <v>0</v>
      </c>
      <c r="E290" s="23"/>
      <c r="F290" s="55" t="str">
        <f>Master!A453&amp;" Field"</f>
        <v>Z887 Field</v>
      </c>
      <c r="G290" s="49" t="str">
        <f>Master!A453&amp;" Panel"</f>
        <v>Z887 Panel</v>
      </c>
      <c r="H290" s="65">
        <f>Master!B453</f>
        <v>0</v>
      </c>
    </row>
    <row r="291" spans="2:8" x14ac:dyDescent="0.2">
      <c r="B291" s="33" t="str">
        <f>Master!A438&amp;" Field"</f>
        <v>Z872 Field</v>
      </c>
      <c r="C291" s="34" t="str">
        <f>Master!A438&amp;" Panel"</f>
        <v>Z872 Panel</v>
      </c>
      <c r="D291" s="63">
        <f>Master!B438</f>
        <v>0</v>
      </c>
      <c r="E291" s="23"/>
      <c r="F291" s="53" t="str">
        <f>Master!A454&amp;" Field"</f>
        <v>Z888 Field</v>
      </c>
      <c r="G291" s="54" t="str">
        <f>Master!A454&amp;" Panel"</f>
        <v>Z888 Panel</v>
      </c>
      <c r="H291" s="61">
        <f>Master!B454</f>
        <v>0</v>
      </c>
    </row>
    <row r="292" spans="2:8" x14ac:dyDescent="0.2">
      <c r="B292" s="30" t="str">
        <f>Master!A439&amp;" Field"</f>
        <v>Z873 Field</v>
      </c>
      <c r="C292" s="31" t="str">
        <f>Master!A439&amp;" Panel"</f>
        <v>Z873 Panel</v>
      </c>
      <c r="D292" s="65">
        <f>Master!B439</f>
        <v>0</v>
      </c>
      <c r="E292" s="23"/>
      <c r="F292" s="55" t="str">
        <f>Master!A455&amp;" Field"</f>
        <v>Z889 Field</v>
      </c>
      <c r="G292" s="49" t="str">
        <f>Master!A455&amp;" Panel"</f>
        <v>Z889 Panel</v>
      </c>
      <c r="H292" s="68">
        <f>Master!B455</f>
        <v>0</v>
      </c>
    </row>
    <row r="293" spans="2:8" x14ac:dyDescent="0.2">
      <c r="B293" s="33" t="str">
        <f>Master!A440&amp;" Field"</f>
        <v>Z874 Field</v>
      </c>
      <c r="C293" s="34" t="str">
        <f>Master!A440&amp;" Panel"</f>
        <v>Z874 Panel</v>
      </c>
      <c r="D293" s="66">
        <f>Master!B440</f>
        <v>0</v>
      </c>
      <c r="E293" s="23"/>
      <c r="F293" s="53" t="str">
        <f>Master!A456&amp;" Field"</f>
        <v>Z890 Field</v>
      </c>
      <c r="G293" s="54" t="str">
        <f>Master!A456&amp;" Panel"</f>
        <v>Z890 Panel</v>
      </c>
      <c r="H293" s="63">
        <f>Master!B456</f>
        <v>0</v>
      </c>
    </row>
    <row r="294" spans="2:8" x14ac:dyDescent="0.2">
      <c r="B294" s="30" t="str">
        <f>Master!A441&amp;" Field"</f>
        <v>Z875 Field</v>
      </c>
      <c r="C294" s="31" t="str">
        <f>Master!A441&amp;" Panel"</f>
        <v>Z875 Panel</v>
      </c>
      <c r="D294" s="64">
        <f>Master!B441</f>
        <v>0</v>
      </c>
      <c r="E294" s="23"/>
      <c r="F294" s="55" t="str">
        <f>Master!A457&amp;" Field"</f>
        <v>Z891 Field</v>
      </c>
      <c r="G294" s="49" t="str">
        <f>Master!A457&amp;" Panel"</f>
        <v>Z891 Panel</v>
      </c>
      <c r="H294" s="65">
        <f>Master!B457</f>
        <v>0</v>
      </c>
    </row>
    <row r="295" spans="2:8" x14ac:dyDescent="0.2">
      <c r="B295" s="33" t="str">
        <f>Master!A442&amp;" Field"</f>
        <v>Z876 Field</v>
      </c>
      <c r="C295" s="34" t="str">
        <f>Master!A442&amp;" Panel"</f>
        <v>Z876 Panel</v>
      </c>
      <c r="D295" s="63">
        <f>Master!B442</f>
        <v>0</v>
      </c>
      <c r="E295" s="23"/>
      <c r="F295" s="53" t="str">
        <f>Master!A458&amp;" Field"</f>
        <v>Z892 Field</v>
      </c>
      <c r="G295" s="54" t="str">
        <f>Master!A458&amp;" Panel"</f>
        <v>Z892 Panel</v>
      </c>
      <c r="H295" s="61">
        <f>Master!B458</f>
        <v>0</v>
      </c>
    </row>
    <row r="296" spans="2:8" x14ac:dyDescent="0.2">
      <c r="B296" s="30" t="str">
        <f>Master!A443&amp;" Field"</f>
        <v>Z877 Field</v>
      </c>
      <c r="C296" s="31" t="str">
        <f>Master!A443&amp;" Panel"</f>
        <v>Z877 Panel</v>
      </c>
      <c r="D296" s="64">
        <f>Master!B443</f>
        <v>0</v>
      </c>
      <c r="E296" s="23"/>
      <c r="F296" s="55" t="str">
        <f>Master!A459&amp;" Field"</f>
        <v>Z893 Field</v>
      </c>
      <c r="G296" s="49" t="str">
        <f>Master!A459&amp;" Panel"</f>
        <v>Z893 Panel</v>
      </c>
      <c r="H296" s="68">
        <f>Master!B459</f>
        <v>0</v>
      </c>
    </row>
    <row r="297" spans="2:8" x14ac:dyDescent="0.2">
      <c r="B297" s="33" t="str">
        <f>Master!A444&amp;" Field"</f>
        <v>Z878 Field</v>
      </c>
      <c r="C297" s="34" t="str">
        <f>Master!A444&amp;" Panel"</f>
        <v>Z878 Panel</v>
      </c>
      <c r="D297" s="63">
        <f>Master!B444</f>
        <v>0</v>
      </c>
      <c r="E297" s="23"/>
      <c r="F297" s="53" t="str">
        <f>Master!A460&amp;" Field"</f>
        <v>Z894 Field</v>
      </c>
      <c r="G297" s="54" t="str">
        <f>Master!A460&amp;" Panel"</f>
        <v>Z894 Panel</v>
      </c>
      <c r="H297" s="61">
        <f>Master!B460</f>
        <v>0</v>
      </c>
    </row>
    <row r="298" spans="2:8" x14ac:dyDescent="0.2">
      <c r="B298" s="30" t="str">
        <f>Master!A445&amp;" Field"</f>
        <v>Z879 Field</v>
      </c>
      <c r="C298" s="31" t="str">
        <f>Master!A445&amp;" Panel"</f>
        <v>Z879 Panel</v>
      </c>
      <c r="D298" s="65" t="str">
        <f>Master!B445</f>
        <v>PS-23: A/C LOSS</v>
      </c>
      <c r="E298" s="23"/>
      <c r="F298" s="55" t="str">
        <f>Master!A461&amp;" Field"</f>
        <v>Z895 Field</v>
      </c>
      <c r="G298" s="49" t="str">
        <f>Master!A461&amp;" Panel"</f>
        <v>Z895 Panel</v>
      </c>
      <c r="H298" s="68" t="str">
        <f>Master!B461</f>
        <v>PS-24: A/C LOSS</v>
      </c>
    </row>
    <row r="299" spans="2:8" x14ac:dyDescent="0.2">
      <c r="B299" s="33" t="str">
        <f>Master!A446&amp;" Field"</f>
        <v>Z880 Field</v>
      </c>
      <c r="C299" s="34" t="str">
        <f>Master!A446&amp;" Panel"</f>
        <v>Z880 Panel</v>
      </c>
      <c r="D299" s="61" t="str">
        <f>Master!B446</f>
        <v>PS-23: BATT. TRBL.</v>
      </c>
      <c r="E299" s="23"/>
      <c r="F299" s="53" t="str">
        <f>Master!A462&amp;" Field"</f>
        <v>Z896 Field</v>
      </c>
      <c r="G299" s="54" t="str">
        <f>Master!A462&amp;" Panel"</f>
        <v>Z896 Panel</v>
      </c>
      <c r="H299" s="61" t="str">
        <f>Master!B462</f>
        <v>PS-24: BATT. TRBL.</v>
      </c>
    </row>
    <row r="300" spans="2:8" ht="16" customHeight="1" thickBot="1" x14ac:dyDescent="0.25">
      <c r="B300" s="35" t="s">
        <v>640</v>
      </c>
      <c r="C300" s="36" t="s">
        <v>685</v>
      </c>
      <c r="D300" s="71" t="s">
        <v>686</v>
      </c>
      <c r="E300" s="23"/>
      <c r="F300" s="56" t="s">
        <v>640</v>
      </c>
      <c r="G300" s="57" t="s">
        <v>687</v>
      </c>
      <c r="H300" s="69" t="s">
        <v>688</v>
      </c>
    </row>
    <row r="301" spans="2:8" ht="16" customHeight="1" thickBot="1" x14ac:dyDescent="0.25">
      <c r="B301" s="23"/>
      <c r="C301" s="23"/>
      <c r="D301" s="23"/>
    </row>
    <row r="302" spans="2:8" ht="19" customHeight="1" x14ac:dyDescent="0.2">
      <c r="B302" s="99" t="str">
        <f>Header!B3</f>
        <v>[SCHOOL NAME]</v>
      </c>
      <c r="C302" s="90"/>
      <c r="D302" s="91"/>
      <c r="E302" s="23"/>
      <c r="F302" s="99" t="str">
        <f>Header!B3</f>
        <v>[SCHOOL NAME]</v>
      </c>
      <c r="G302" s="90"/>
      <c r="H302" s="91"/>
    </row>
    <row r="303" spans="2:8" ht="19" customHeight="1" x14ac:dyDescent="0.2">
      <c r="B303" s="92" t="str">
        <f>Header!B4</f>
        <v>[ADDRESS]</v>
      </c>
      <c r="C303" s="93"/>
      <c r="D303" s="94"/>
      <c r="E303" s="23"/>
      <c r="F303" s="92" t="str">
        <f>Header!B4</f>
        <v>[ADDRESS]</v>
      </c>
      <c r="G303" s="93"/>
      <c r="H303" s="94"/>
    </row>
    <row r="304" spans="2:8" ht="19" customHeight="1" x14ac:dyDescent="0.2">
      <c r="B304" s="92" t="str">
        <f>Header!B5</f>
        <v>[CITY, STATE ZIP]</v>
      </c>
      <c r="C304" s="93"/>
      <c r="D304" s="94"/>
      <c r="E304" s="23"/>
      <c r="F304" s="92" t="str">
        <f>Header!B5</f>
        <v>[CITY, STATE ZIP]</v>
      </c>
      <c r="G304" s="93"/>
      <c r="H304" s="94"/>
    </row>
    <row r="305" spans="2:8" x14ac:dyDescent="0.2">
      <c r="B305" s="39"/>
      <c r="C305" s="40"/>
      <c r="D305" s="41"/>
      <c r="E305" s="23"/>
      <c r="F305" s="39"/>
      <c r="G305" s="40"/>
      <c r="H305" s="41"/>
    </row>
    <row r="306" spans="2:8" ht="16" customHeight="1" thickBot="1" x14ac:dyDescent="0.25">
      <c r="B306" s="42"/>
      <c r="C306" s="43"/>
      <c r="D306" s="44"/>
      <c r="E306" s="23"/>
      <c r="F306" s="42"/>
      <c r="G306" s="43"/>
      <c r="H306" s="44"/>
    </row>
    <row r="307" spans="2:8" ht="17" customHeight="1" thickBot="1" x14ac:dyDescent="0.25">
      <c r="B307" s="96">
        <f>Master!D467</f>
        <v>0</v>
      </c>
      <c r="C307" s="97"/>
      <c r="D307" s="98"/>
      <c r="E307" s="23"/>
      <c r="F307" s="96">
        <f>Master!D483</f>
        <v>0</v>
      </c>
      <c r="G307" s="97"/>
      <c r="H307" s="98"/>
    </row>
    <row r="308" spans="2:8" ht="17" customHeight="1" thickBot="1" x14ac:dyDescent="0.25">
      <c r="B308" s="45" t="s">
        <v>638</v>
      </c>
      <c r="C308" s="46" t="s">
        <v>639</v>
      </c>
      <c r="D308" s="47" t="s">
        <v>2</v>
      </c>
      <c r="E308" s="23"/>
      <c r="F308" s="51" t="s">
        <v>638</v>
      </c>
      <c r="G308" s="50" t="s">
        <v>639</v>
      </c>
      <c r="H308" s="52" t="s">
        <v>2</v>
      </c>
    </row>
    <row r="309" spans="2:8" x14ac:dyDescent="0.2">
      <c r="B309" s="30" t="str">
        <f>Master!A467&amp;" Field"</f>
        <v>Z901 Field</v>
      </c>
      <c r="C309" s="31" t="str">
        <f>Master!A467&amp;" Panel"</f>
        <v>Z901 Panel</v>
      </c>
      <c r="D309" s="59">
        <f>Master!B467</f>
        <v>0</v>
      </c>
      <c r="E309" s="23"/>
      <c r="F309" s="30" t="str">
        <f>Master!A483&amp;" Field"</f>
        <v>Z917 Field</v>
      </c>
      <c r="G309" s="48" t="str">
        <f>Master!A483&amp;" Panel"</f>
        <v>Z917 Panel</v>
      </c>
      <c r="H309" s="72">
        <f>Master!B483</f>
        <v>0</v>
      </c>
    </row>
    <row r="310" spans="2:8" x14ac:dyDescent="0.2">
      <c r="B310" s="33" t="str">
        <f>Master!A468&amp;" Field"</f>
        <v>Z902 Field</v>
      </c>
      <c r="C310" s="34" t="str">
        <f>Master!A468&amp;" Panel"</f>
        <v>Z902 Panel</v>
      </c>
      <c r="D310" s="66">
        <f>Master!B468</f>
        <v>0</v>
      </c>
      <c r="E310" s="23"/>
      <c r="F310" s="53" t="str">
        <f>Master!A484&amp;" Field"</f>
        <v>Z918 Field</v>
      </c>
      <c r="G310" s="54" t="str">
        <f>Master!A484&amp;" Panel"</f>
        <v>Z918 Panel</v>
      </c>
      <c r="H310" s="61">
        <f>Master!B484</f>
        <v>0</v>
      </c>
    </row>
    <row r="311" spans="2:8" x14ac:dyDescent="0.2">
      <c r="B311" s="30" t="str">
        <f>Master!A469&amp;" Field"</f>
        <v>Z903 Field</v>
      </c>
      <c r="C311" s="31" t="str">
        <f>Master!A469&amp;" Panel"</f>
        <v>Z903 Panel</v>
      </c>
      <c r="D311" s="65">
        <f>Master!B469</f>
        <v>0</v>
      </c>
      <c r="E311" s="23"/>
      <c r="F311" s="55" t="str">
        <f>Master!A485&amp;" Field"</f>
        <v>Z919 Field</v>
      </c>
      <c r="G311" s="49" t="str">
        <f>Master!A485&amp;" Panel"</f>
        <v>Z919 Panel</v>
      </c>
      <c r="H311" s="65">
        <f>Master!B485</f>
        <v>0</v>
      </c>
    </row>
    <row r="312" spans="2:8" x14ac:dyDescent="0.2">
      <c r="B312" s="33" t="str">
        <f>Master!A470&amp;" Field"</f>
        <v>Z904 Field</v>
      </c>
      <c r="C312" s="34" t="str">
        <f>Master!A470&amp;" Panel"</f>
        <v>Z904 Panel</v>
      </c>
      <c r="D312" s="61">
        <f>Master!B470</f>
        <v>0</v>
      </c>
      <c r="E312" s="23"/>
      <c r="F312" s="53" t="str">
        <f>Master!A486&amp;" Field"</f>
        <v>Z920 Field</v>
      </c>
      <c r="G312" s="54" t="str">
        <f>Master!A486&amp;" Panel"</f>
        <v>Z920 Panel</v>
      </c>
      <c r="H312" s="61">
        <f>Master!B486</f>
        <v>0</v>
      </c>
    </row>
    <row r="313" spans="2:8" x14ac:dyDescent="0.2">
      <c r="B313" s="30" t="str">
        <f>Master!A471&amp;" Field"</f>
        <v>Z905 Field</v>
      </c>
      <c r="C313" s="31" t="str">
        <f>Master!A471&amp;" Panel"</f>
        <v>Z905 Panel</v>
      </c>
      <c r="D313" s="65">
        <f>Master!B471</f>
        <v>0</v>
      </c>
      <c r="E313" s="23"/>
      <c r="F313" s="55" t="str">
        <f>Master!A487&amp;" Field"</f>
        <v>Z921 Field</v>
      </c>
      <c r="G313" s="49" t="str">
        <f>Master!A487&amp;" Panel"</f>
        <v>Z921 Panel</v>
      </c>
      <c r="H313" s="65">
        <f>Master!B487</f>
        <v>0</v>
      </c>
    </row>
    <row r="314" spans="2:8" x14ac:dyDescent="0.2">
      <c r="B314" s="33" t="str">
        <f>Master!A472&amp;" Field"</f>
        <v>Z906 Field</v>
      </c>
      <c r="C314" s="34" t="str">
        <f>Master!A472&amp;" Panel"</f>
        <v>Z906 Panel</v>
      </c>
      <c r="D314" s="61">
        <f>Master!B472</f>
        <v>0</v>
      </c>
      <c r="E314" s="23"/>
      <c r="F314" s="53" t="str">
        <f>Master!A488&amp;" Field"</f>
        <v>Z922 Field</v>
      </c>
      <c r="G314" s="54" t="str">
        <f>Master!A488&amp;" Panel"</f>
        <v>Z922 Panel</v>
      </c>
      <c r="H314" s="61">
        <f>Master!B488</f>
        <v>0</v>
      </c>
    </row>
    <row r="315" spans="2:8" x14ac:dyDescent="0.2">
      <c r="B315" s="30" t="str">
        <f>Master!A473&amp;" Field"</f>
        <v>Z907 Field</v>
      </c>
      <c r="C315" s="31" t="str">
        <f>Master!A473&amp;" Panel"</f>
        <v>Z907 Panel</v>
      </c>
      <c r="D315" s="65">
        <f>Master!B473</f>
        <v>0</v>
      </c>
      <c r="E315" s="23"/>
      <c r="F315" s="55" t="str">
        <f>Master!A489&amp;" Field"</f>
        <v>Z923 Field</v>
      </c>
      <c r="G315" s="49" t="str">
        <f>Master!A489&amp;" Panel"</f>
        <v>Z923 Panel</v>
      </c>
      <c r="H315" s="65">
        <f>Master!B489</f>
        <v>0</v>
      </c>
    </row>
    <row r="316" spans="2:8" x14ac:dyDescent="0.2">
      <c r="B316" s="33" t="str">
        <f>Master!A474&amp;" Field"</f>
        <v>Z908 Field</v>
      </c>
      <c r="C316" s="34" t="str">
        <f>Master!A474&amp;" Panel"</f>
        <v>Z908 Panel</v>
      </c>
      <c r="D316" s="61">
        <f>Master!B474</f>
        <v>0</v>
      </c>
      <c r="E316" s="23"/>
      <c r="F316" s="53" t="str">
        <f>Master!A490&amp;" Field"</f>
        <v>Z924 Field</v>
      </c>
      <c r="G316" s="54" t="str">
        <f>Master!A490&amp;" Panel"</f>
        <v>Z924 Panel</v>
      </c>
      <c r="H316" s="61">
        <f>Master!B490</f>
        <v>0</v>
      </c>
    </row>
    <row r="317" spans="2:8" x14ac:dyDescent="0.2">
      <c r="B317" s="30" t="str">
        <f>Master!A475&amp;" Field"</f>
        <v>Z909 Field</v>
      </c>
      <c r="C317" s="31" t="str">
        <f>Master!A475&amp;" Panel"</f>
        <v>Z909 Panel</v>
      </c>
      <c r="D317" s="65">
        <f>Master!B475</f>
        <v>0</v>
      </c>
      <c r="E317" s="23"/>
      <c r="F317" s="55" t="str">
        <f>Master!A491&amp;" Field"</f>
        <v>Z925 Field</v>
      </c>
      <c r="G317" s="49" t="str">
        <f>Master!A491&amp;" Panel"</f>
        <v>Z925 Panel</v>
      </c>
      <c r="H317" s="68">
        <f>Master!B491</f>
        <v>0</v>
      </c>
    </row>
    <row r="318" spans="2:8" x14ac:dyDescent="0.2">
      <c r="B318" s="33" t="str">
        <f>Master!A476&amp;" Field"</f>
        <v>Z910 Field</v>
      </c>
      <c r="C318" s="34" t="str">
        <f>Master!A476&amp;" Panel"</f>
        <v>Z910 Panel</v>
      </c>
      <c r="D318" s="61">
        <f>Master!B476</f>
        <v>0</v>
      </c>
      <c r="E318" s="23"/>
      <c r="F318" s="53" t="str">
        <f>Master!A492&amp;" Field"</f>
        <v>Z926 Field</v>
      </c>
      <c r="G318" s="54" t="str">
        <f>Master!A492&amp;" Panel"</f>
        <v>Z926 Panel</v>
      </c>
      <c r="H318" s="61">
        <f>Master!B492</f>
        <v>0</v>
      </c>
    </row>
    <row r="319" spans="2:8" x14ac:dyDescent="0.2">
      <c r="B319" s="30" t="str">
        <f>Master!A477&amp;" Field"</f>
        <v>Z911 Field</v>
      </c>
      <c r="C319" s="31" t="str">
        <f>Master!A477&amp;" Panel"</f>
        <v>Z911 Panel</v>
      </c>
      <c r="D319" s="65">
        <f>Master!B477</f>
        <v>0</v>
      </c>
      <c r="E319" s="23"/>
      <c r="F319" s="55" t="str">
        <f>Master!A493&amp;" Field"</f>
        <v>Z927 Field</v>
      </c>
      <c r="G319" s="49" t="str">
        <f>Master!A493&amp;" Panel"</f>
        <v>Z927 Panel</v>
      </c>
      <c r="H319" s="60">
        <f>Master!B493</f>
        <v>0</v>
      </c>
    </row>
    <row r="320" spans="2:8" x14ac:dyDescent="0.2">
      <c r="B320" s="33" t="str">
        <f>Master!A478&amp;" Field"</f>
        <v>Z912 Field</v>
      </c>
      <c r="C320" s="34" t="str">
        <f>Master!A478&amp;" Panel"</f>
        <v>Z912 Panel</v>
      </c>
      <c r="D320" s="61">
        <f>Master!B478</f>
        <v>0</v>
      </c>
      <c r="E320" s="23"/>
      <c r="F320" s="53" t="str">
        <f>Master!A494&amp;" Field"</f>
        <v>Z928 Field</v>
      </c>
      <c r="G320" s="54" t="str">
        <f>Master!A494&amp;" Panel"</f>
        <v>Z928 Panel</v>
      </c>
      <c r="H320" s="73">
        <f>Master!B494</f>
        <v>0</v>
      </c>
    </row>
    <row r="321" spans="2:8" x14ac:dyDescent="0.2">
      <c r="B321" s="30" t="str">
        <f>Master!A479&amp;" Field"</f>
        <v>Z913 Field</v>
      </c>
      <c r="C321" s="31" t="str">
        <f>Master!A479&amp;" Panel"</f>
        <v>Z913 Panel</v>
      </c>
      <c r="D321" s="65">
        <f>Master!B479</f>
        <v>0</v>
      </c>
      <c r="E321" s="23"/>
      <c r="F321" s="55" t="str">
        <f>Master!A495&amp;" Field"</f>
        <v>Z929 Field</v>
      </c>
      <c r="G321" s="49" t="str">
        <f>Master!A495&amp;" Panel"</f>
        <v>Z929 Panel</v>
      </c>
      <c r="H321" s="65">
        <f>Master!B495</f>
        <v>0</v>
      </c>
    </row>
    <row r="322" spans="2:8" x14ac:dyDescent="0.2">
      <c r="B322" s="33" t="str">
        <f>Master!A480&amp;" Field"</f>
        <v>Z914 Field</v>
      </c>
      <c r="C322" s="34" t="str">
        <f>Master!A480&amp;" Panel"</f>
        <v>Z914 Panel</v>
      </c>
      <c r="D322" s="61">
        <f>Master!B480</f>
        <v>0</v>
      </c>
      <c r="E322" s="23"/>
      <c r="F322" s="53" t="str">
        <f>Master!A496&amp;" Field"</f>
        <v>Z930 Field</v>
      </c>
      <c r="G322" s="54" t="str">
        <f>Master!A496&amp;" Panel"</f>
        <v>Z930 Panel</v>
      </c>
      <c r="H322" s="61">
        <f>Master!B496</f>
        <v>0</v>
      </c>
    </row>
    <row r="323" spans="2:8" x14ac:dyDescent="0.2">
      <c r="B323" s="30" t="str">
        <f>Master!A481&amp;" Field"</f>
        <v>Z915 Field</v>
      </c>
      <c r="C323" s="31" t="str">
        <f>Master!A481&amp;" Panel"</f>
        <v>Z915 Panel</v>
      </c>
      <c r="D323" s="65" t="str">
        <f>Master!B481</f>
        <v>PS-25: A/C LOSS</v>
      </c>
      <c r="E323" s="23"/>
      <c r="F323" s="55" t="str">
        <f>Master!A497&amp;" Field"</f>
        <v>Z931 Field</v>
      </c>
      <c r="G323" s="49" t="str">
        <f>Master!A497&amp;" Panel"</f>
        <v>Z931 Panel</v>
      </c>
      <c r="H323" s="65" t="str">
        <f>Master!B497</f>
        <v>PS-26: A/C LOSS</v>
      </c>
    </row>
    <row r="324" spans="2:8" x14ac:dyDescent="0.2">
      <c r="B324" s="33" t="str">
        <f>Master!A482&amp;" Field"</f>
        <v>Z916 Field</v>
      </c>
      <c r="C324" s="34" t="str">
        <f>Master!A482&amp;" Panel"</f>
        <v>Z916 Panel</v>
      </c>
      <c r="D324" s="61" t="str">
        <f>Master!B482</f>
        <v>PS-25: BATT. TRBL.</v>
      </c>
      <c r="E324" s="23"/>
      <c r="F324" s="53" t="str">
        <f>Master!A498&amp;" Field"</f>
        <v>Z932 Field</v>
      </c>
      <c r="G324" s="54" t="str">
        <f>Master!A498&amp;" Panel"</f>
        <v>Z932 Panel</v>
      </c>
      <c r="H324" s="61" t="str">
        <f>Master!B498</f>
        <v>PS-26: BATT. TRBL.</v>
      </c>
    </row>
    <row r="325" spans="2:8" ht="16" customHeight="1" thickBot="1" x14ac:dyDescent="0.25">
      <c r="B325" s="35" t="s">
        <v>640</v>
      </c>
      <c r="C325" s="36" t="s">
        <v>689</v>
      </c>
      <c r="D325" s="71" t="s">
        <v>690</v>
      </c>
      <c r="E325" s="23"/>
      <c r="F325" s="56" t="s">
        <v>640</v>
      </c>
      <c r="G325" s="57" t="s">
        <v>691</v>
      </c>
      <c r="H325" s="67" t="s">
        <v>692</v>
      </c>
    </row>
    <row r="326" spans="2:8" ht="16" customHeight="1" thickBot="1" x14ac:dyDescent="0.25">
      <c r="B326" s="23"/>
      <c r="C326" s="23"/>
      <c r="D326" s="23"/>
    </row>
    <row r="327" spans="2:8" ht="19" customHeight="1" x14ac:dyDescent="0.2">
      <c r="B327" s="99" t="str">
        <f>Header!B3</f>
        <v>[SCHOOL NAME]</v>
      </c>
      <c r="C327" s="90"/>
      <c r="D327" s="91"/>
      <c r="E327" s="23"/>
      <c r="F327" s="89" t="str">
        <f>Header!B3</f>
        <v>[SCHOOL NAME]</v>
      </c>
      <c r="G327" s="90"/>
      <c r="H327" s="91"/>
    </row>
    <row r="328" spans="2:8" ht="19" customHeight="1" x14ac:dyDescent="0.2">
      <c r="B328" s="92" t="str">
        <f>Header!B4</f>
        <v>[ADDRESS]</v>
      </c>
      <c r="C328" s="93"/>
      <c r="D328" s="94"/>
      <c r="E328" s="23"/>
      <c r="F328" s="100" t="str">
        <f>Header!B4</f>
        <v>[ADDRESS]</v>
      </c>
      <c r="G328" s="101"/>
      <c r="H328" s="102"/>
    </row>
    <row r="329" spans="2:8" ht="19" x14ac:dyDescent="0.2">
      <c r="B329" s="92" t="str">
        <f>Header!B5</f>
        <v>[CITY, STATE ZIP]</v>
      </c>
      <c r="C329" s="93"/>
      <c r="D329" s="94"/>
      <c r="E329" s="23"/>
      <c r="F329" s="100" t="str">
        <f>Header!B5</f>
        <v>[CITY, STATE ZIP]</v>
      </c>
      <c r="G329" s="101"/>
      <c r="H329" s="102"/>
    </row>
    <row r="330" spans="2:8" x14ac:dyDescent="0.2">
      <c r="B330" s="39"/>
      <c r="C330" s="40"/>
      <c r="D330" s="41"/>
      <c r="E330" s="23"/>
      <c r="F330" s="14"/>
      <c r="G330" s="2"/>
      <c r="H330" s="15"/>
    </row>
    <row r="331" spans="2:8" ht="16" customHeight="1" thickBot="1" x14ac:dyDescent="0.25">
      <c r="B331" s="42"/>
      <c r="C331" s="43"/>
      <c r="D331" s="44"/>
      <c r="E331" s="23"/>
      <c r="F331" s="16"/>
      <c r="G331" s="17"/>
      <c r="H331" s="18"/>
    </row>
    <row r="332" spans="2:8" ht="17" customHeight="1" thickBot="1" x14ac:dyDescent="0.25">
      <c r="B332" s="96">
        <f>Master!D499</f>
        <v>0</v>
      </c>
      <c r="C332" s="97"/>
      <c r="D332" s="98"/>
      <c r="E332" s="23"/>
      <c r="F332" s="103">
        <f>Master!D515</f>
        <v>0</v>
      </c>
      <c r="G332" s="104"/>
      <c r="H332" s="105"/>
    </row>
    <row r="333" spans="2:8" ht="17" customHeight="1" thickBot="1" x14ac:dyDescent="0.25">
      <c r="B333" s="45" t="s">
        <v>638</v>
      </c>
      <c r="C333" s="46" t="s">
        <v>639</v>
      </c>
      <c r="D333" s="47" t="s">
        <v>2</v>
      </c>
      <c r="E333" s="23"/>
      <c r="F333" s="3" t="s">
        <v>638</v>
      </c>
      <c r="G333" s="3" t="s">
        <v>639</v>
      </c>
      <c r="H333" s="19" t="s">
        <v>2</v>
      </c>
    </row>
    <row r="334" spans="2:8" x14ac:dyDescent="0.2">
      <c r="B334" s="30" t="str">
        <f>Master!A499&amp;" Field"</f>
        <v>Z933 Field</v>
      </c>
      <c r="C334" s="31" t="str">
        <f>Master!A499&amp;" Panel"</f>
        <v>Z933 Panel</v>
      </c>
      <c r="D334" s="70">
        <f>Master!B499</f>
        <v>0</v>
      </c>
      <c r="E334" s="23"/>
      <c r="F334" s="5" t="str">
        <f>Master!A515&amp;" Field"</f>
        <v>Z949 Field</v>
      </c>
      <c r="G334" s="5" t="str">
        <f>Master!A515&amp;" Panel"</f>
        <v>Z949 Panel</v>
      </c>
      <c r="H334" s="13">
        <f>Master!B515</f>
        <v>0</v>
      </c>
    </row>
    <row r="335" spans="2:8" x14ac:dyDescent="0.2">
      <c r="B335" s="33" t="str">
        <f>Master!A500&amp;" Field"</f>
        <v>Z934 Field</v>
      </c>
      <c r="C335" s="34" t="str">
        <f>Master!A500&amp;" Panel"</f>
        <v>Z934 Panel</v>
      </c>
      <c r="D335" s="61">
        <f>Master!B500</f>
        <v>0</v>
      </c>
      <c r="E335" s="23"/>
      <c r="F335" s="5" t="str">
        <f>Master!A516&amp;" Field"</f>
        <v>Z950 Field</v>
      </c>
      <c r="G335" s="5" t="str">
        <f>Master!A516&amp;" Panel"</f>
        <v>Z950 Panel</v>
      </c>
      <c r="H335" s="13">
        <f>Master!B516</f>
        <v>0</v>
      </c>
    </row>
    <row r="336" spans="2:8" x14ac:dyDescent="0.2">
      <c r="B336" s="30" t="str">
        <f>Master!A501&amp;" Field"</f>
        <v>Z935 Field</v>
      </c>
      <c r="C336" s="31" t="str">
        <f>Master!A501&amp;" Panel"</f>
        <v>Z935 Panel</v>
      </c>
      <c r="D336" s="65">
        <f>Master!B501</f>
        <v>0</v>
      </c>
      <c r="E336" s="23"/>
      <c r="F336" s="5" t="str">
        <f>Master!A517&amp;" Field"</f>
        <v>Z951 Field</v>
      </c>
      <c r="G336" s="5" t="str">
        <f>Master!A517&amp;" Panel"</f>
        <v>Z951 Panel</v>
      </c>
      <c r="H336" s="13">
        <f>Master!B517</f>
        <v>0</v>
      </c>
    </row>
    <row r="337" spans="2:8" x14ac:dyDescent="0.2">
      <c r="B337" s="33" t="str">
        <f>Master!A502&amp;" Field"</f>
        <v>Z936 Field</v>
      </c>
      <c r="C337" s="34" t="str">
        <f>Master!A502&amp;" Panel"</f>
        <v>Z936 Panel</v>
      </c>
      <c r="D337" s="61">
        <f>Master!B502</f>
        <v>0</v>
      </c>
      <c r="E337" s="23"/>
      <c r="F337" s="5" t="str">
        <f>Master!A518&amp;" Field"</f>
        <v>Z952 Field</v>
      </c>
      <c r="G337" s="5" t="str">
        <f>Master!A518&amp;" Panel"</f>
        <v>Z952 Panel</v>
      </c>
      <c r="H337" s="13">
        <f>Master!B518</f>
        <v>0</v>
      </c>
    </row>
    <row r="338" spans="2:8" x14ac:dyDescent="0.2">
      <c r="B338" s="30" t="str">
        <f>Master!A503&amp;" Field"</f>
        <v>Z937 Field</v>
      </c>
      <c r="C338" s="31" t="str">
        <f>Master!A503&amp;" Panel"</f>
        <v>Z937 Panel</v>
      </c>
      <c r="D338" s="62">
        <f>Master!B503</f>
        <v>0</v>
      </c>
      <c r="E338" s="23"/>
      <c r="F338" s="5" t="str">
        <f>Master!A519&amp;" Field"</f>
        <v>Z953 Field</v>
      </c>
      <c r="G338" s="5" t="str">
        <f>Master!A519&amp;" Panel"</f>
        <v>Z953 Panel</v>
      </c>
      <c r="H338" s="13">
        <f>Master!B519</f>
        <v>0</v>
      </c>
    </row>
    <row r="339" spans="2:8" x14ac:dyDescent="0.2">
      <c r="B339" s="33" t="str">
        <f>Master!A504&amp;" Field"</f>
        <v>Z938 Field</v>
      </c>
      <c r="C339" s="34" t="str">
        <f>Master!A504&amp;" Panel"</f>
        <v>Z938 Panel</v>
      </c>
      <c r="D339" s="61">
        <f>Master!B504</f>
        <v>0</v>
      </c>
      <c r="E339" s="23"/>
      <c r="F339" s="5" t="str">
        <f>Master!A520&amp;" Field"</f>
        <v>Z954 Field</v>
      </c>
      <c r="G339" s="5" t="str">
        <f>Master!A520&amp;" Panel"</f>
        <v>Z954 Panel</v>
      </c>
      <c r="H339" s="13">
        <f>Master!B520</f>
        <v>0</v>
      </c>
    </row>
    <row r="340" spans="2:8" x14ac:dyDescent="0.2">
      <c r="B340" s="30" t="str">
        <f>Master!A505&amp;" Field"</f>
        <v>Z939 Field</v>
      </c>
      <c r="C340" s="31" t="str">
        <f>Master!A505&amp;" Panel"</f>
        <v>Z939 Panel</v>
      </c>
      <c r="D340" s="62">
        <f>Master!B505</f>
        <v>0</v>
      </c>
      <c r="E340" s="23"/>
      <c r="F340" s="5" t="str">
        <f>Master!A521&amp;" Field"</f>
        <v>Z955 Field</v>
      </c>
      <c r="G340" s="5" t="str">
        <f>Master!A521&amp;" Panel"</f>
        <v>Z955 Panel</v>
      </c>
      <c r="H340" s="13">
        <f>Master!B521</f>
        <v>0</v>
      </c>
    </row>
    <row r="341" spans="2:8" x14ac:dyDescent="0.2">
      <c r="B341" s="33" t="str">
        <f>Master!A506&amp;" Field"</f>
        <v>Z940 Field</v>
      </c>
      <c r="C341" s="34" t="str">
        <f>Master!A506&amp;" Panel"</f>
        <v>Z940 Panel</v>
      </c>
      <c r="D341" s="61">
        <f>Master!B506</f>
        <v>0</v>
      </c>
      <c r="E341" s="23"/>
      <c r="F341" s="5" t="str">
        <f>Master!A522&amp;" Field"</f>
        <v>Z956 Field</v>
      </c>
      <c r="G341" s="5" t="str">
        <f>Master!A522&amp;" Panel"</f>
        <v>Z956 Panel</v>
      </c>
      <c r="H341" s="13">
        <f>Master!B522</f>
        <v>0</v>
      </c>
    </row>
    <row r="342" spans="2:8" x14ac:dyDescent="0.2">
      <c r="B342" s="30" t="str">
        <f>Master!A507&amp;" Field"</f>
        <v>Z941 Field</v>
      </c>
      <c r="C342" s="31" t="str">
        <f>Master!A507&amp;" Panel"</f>
        <v>Z941 Panel</v>
      </c>
      <c r="D342" s="65">
        <f>Master!B507</f>
        <v>0</v>
      </c>
      <c r="E342" s="23"/>
      <c r="F342" s="5" t="str">
        <f>Master!A523&amp;" Field"</f>
        <v>Z957 Field</v>
      </c>
      <c r="G342" s="5" t="str">
        <f>Master!A523&amp;" Panel"</f>
        <v>Z957 Panel</v>
      </c>
      <c r="H342" s="13">
        <f>Master!B523</f>
        <v>0</v>
      </c>
    </row>
    <row r="343" spans="2:8" x14ac:dyDescent="0.2">
      <c r="B343" s="33" t="str">
        <f>Master!A508&amp;" Field"</f>
        <v>Z942 Field</v>
      </c>
      <c r="C343" s="34" t="str">
        <f>Master!A508&amp;" Panel"</f>
        <v>Z942 Panel</v>
      </c>
      <c r="D343" s="61">
        <f>Master!B508</f>
        <v>0</v>
      </c>
      <c r="E343" s="23"/>
      <c r="F343" s="5" t="str">
        <f>Master!A524&amp;" Field"</f>
        <v>Z958 Field</v>
      </c>
      <c r="G343" s="5" t="str">
        <f>Master!A524&amp;" Panel"</f>
        <v>Z958 Panel</v>
      </c>
      <c r="H343" s="13">
        <f>Master!B524</f>
        <v>0</v>
      </c>
    </row>
    <row r="344" spans="2:8" x14ac:dyDescent="0.2">
      <c r="B344" s="30" t="str">
        <f>Master!A509&amp;" Field"</f>
        <v>Z943 Field</v>
      </c>
      <c r="C344" s="31" t="str">
        <f>Master!A509&amp;" Panel"</f>
        <v>Z943 Panel</v>
      </c>
      <c r="D344" s="65">
        <f>Master!B509</f>
        <v>0</v>
      </c>
      <c r="E344" s="23"/>
      <c r="F344" s="5" t="str">
        <f>Master!A525&amp;" Field"</f>
        <v>Z959 Field</v>
      </c>
      <c r="G344" s="5" t="str">
        <f>Master!A525&amp;" Panel"</f>
        <v>Z959 Panel</v>
      </c>
      <c r="H344" s="13">
        <f>Master!B525</f>
        <v>0</v>
      </c>
    </row>
    <row r="345" spans="2:8" x14ac:dyDescent="0.2">
      <c r="B345" s="33" t="str">
        <f>Master!A510&amp;" Field"</f>
        <v>Z944 Field</v>
      </c>
      <c r="C345" s="34" t="str">
        <f>Master!A510&amp;" Panel"</f>
        <v>Z944 Panel</v>
      </c>
      <c r="D345" s="61">
        <f>Master!B510</f>
        <v>0</v>
      </c>
      <c r="E345" s="23"/>
      <c r="F345" s="5" t="str">
        <f>Master!A526&amp;" Field"</f>
        <v>Z960 Field</v>
      </c>
      <c r="G345" s="5" t="str">
        <f>Master!A526&amp;" Panel"</f>
        <v>Z960 Panel</v>
      </c>
      <c r="H345" s="13">
        <f>Master!B526</f>
        <v>0</v>
      </c>
    </row>
    <row r="346" spans="2:8" x14ac:dyDescent="0.2">
      <c r="B346" s="30" t="str">
        <f>Master!A511&amp;" Field"</f>
        <v>Z945 Field</v>
      </c>
      <c r="C346" s="31" t="str">
        <f>Master!A511&amp;" Panel"</f>
        <v>Z945 Panel</v>
      </c>
      <c r="D346" s="65">
        <f>Master!B511</f>
        <v>0</v>
      </c>
      <c r="E346" s="23"/>
      <c r="F346" s="5" t="str">
        <f>Master!A527&amp;" Field"</f>
        <v>Z961 Field</v>
      </c>
      <c r="G346" s="5" t="str">
        <f>Master!A527&amp;" Panel"</f>
        <v>Z961 Panel</v>
      </c>
      <c r="H346" s="13">
        <f>Master!B527</f>
        <v>0</v>
      </c>
    </row>
    <row r="347" spans="2:8" x14ac:dyDescent="0.2">
      <c r="B347" s="33" t="str">
        <f>Master!A512&amp;" Field"</f>
        <v>Z946 Field</v>
      </c>
      <c r="C347" s="34" t="str">
        <f>Master!A512&amp;" Panel"</f>
        <v>Z946 Panel</v>
      </c>
      <c r="D347" s="66">
        <f>Master!B512</f>
        <v>0</v>
      </c>
      <c r="E347" s="23"/>
      <c r="F347" s="5" t="str">
        <f>Master!A528&amp;" Field"</f>
        <v>Z962 Field</v>
      </c>
      <c r="G347" s="5" t="str">
        <f>Master!A528&amp;" Panel"</f>
        <v>Z962 Panel</v>
      </c>
      <c r="H347" s="13">
        <f>Master!B528</f>
        <v>0</v>
      </c>
    </row>
    <row r="348" spans="2:8" x14ac:dyDescent="0.2">
      <c r="B348" s="30" t="str">
        <f>Master!A513&amp;" Field"</f>
        <v>Z947 Field</v>
      </c>
      <c r="C348" s="31" t="str">
        <f>Master!A513&amp;" Panel"</f>
        <v>Z947 Panel</v>
      </c>
      <c r="D348" s="65" t="str">
        <f>Master!B513</f>
        <v>PS-27: A/C LOSS</v>
      </c>
      <c r="E348" s="23"/>
      <c r="F348" s="5" t="str">
        <f>Master!A529&amp;" Field"</f>
        <v>Z963 Field</v>
      </c>
      <c r="G348" s="5" t="str">
        <f>Master!A529&amp;" Panel"</f>
        <v>Z963 Panel</v>
      </c>
      <c r="H348" s="13" t="str">
        <f>Master!B529</f>
        <v>PS-28: A/C LOSS</v>
      </c>
    </row>
    <row r="349" spans="2:8" x14ac:dyDescent="0.2">
      <c r="B349" s="33" t="str">
        <f>Master!A514&amp;" Field"</f>
        <v>Z948 Field</v>
      </c>
      <c r="C349" s="34" t="str">
        <f>Master!A514&amp;" Panel"</f>
        <v>Z948 Panel</v>
      </c>
      <c r="D349" s="58" t="str">
        <f>Master!B514</f>
        <v>PS-27: BATT. TRBL.</v>
      </c>
      <c r="E349" s="23"/>
      <c r="F349" s="5" t="str">
        <f>Master!A530&amp;" Field"</f>
        <v>Z964 Field</v>
      </c>
      <c r="G349" s="5" t="str">
        <f>Master!A530&amp;" Panel"</f>
        <v>Z964 Panel</v>
      </c>
      <c r="H349" s="13" t="str">
        <f>Master!B530</f>
        <v>PS-28: BATT. TRBL.</v>
      </c>
    </row>
    <row r="350" spans="2:8" ht="16" customHeight="1" thickBot="1" x14ac:dyDescent="0.25">
      <c r="B350" s="35" t="s">
        <v>640</v>
      </c>
      <c r="C350" s="36" t="s">
        <v>693</v>
      </c>
      <c r="D350" s="71" t="s">
        <v>694</v>
      </c>
      <c r="E350" s="23"/>
      <c r="F350" s="5" t="s">
        <v>640</v>
      </c>
      <c r="G350" s="5" t="s">
        <v>695</v>
      </c>
      <c r="H350" s="13" t="s">
        <v>696</v>
      </c>
    </row>
    <row r="351" spans="2:8" ht="16" customHeight="1" thickBot="1" x14ac:dyDescent="0.25"/>
    <row r="352" spans="2:8" ht="19" customHeight="1" x14ac:dyDescent="0.2">
      <c r="B352" s="99" t="str">
        <f>Header!B3</f>
        <v>[SCHOOL NAME]</v>
      </c>
      <c r="C352" s="90"/>
      <c r="D352" s="91"/>
      <c r="E352" s="23"/>
      <c r="F352" s="89" t="str">
        <f>Header!B3</f>
        <v>[SCHOOL NAME]</v>
      </c>
      <c r="G352" s="90"/>
      <c r="H352" s="91"/>
    </row>
    <row r="353" spans="2:8" ht="19" customHeight="1" x14ac:dyDescent="0.2">
      <c r="B353" s="106" t="str">
        <f>Header!B4</f>
        <v>[ADDRESS]</v>
      </c>
      <c r="C353" s="107"/>
      <c r="D353" s="108"/>
      <c r="E353" s="23"/>
      <c r="F353" s="100" t="str">
        <f>Header!B4</f>
        <v>[ADDRESS]</v>
      </c>
      <c r="G353" s="101"/>
      <c r="H353" s="102"/>
    </row>
    <row r="354" spans="2:8" ht="19" x14ac:dyDescent="0.2">
      <c r="B354" s="106" t="str">
        <f>Header!B5</f>
        <v>[CITY, STATE ZIP]</v>
      </c>
      <c r="C354" s="107"/>
      <c r="D354" s="108"/>
      <c r="E354" s="23"/>
      <c r="F354" s="100" t="str">
        <f>Header!B5</f>
        <v>[CITY, STATE ZIP]</v>
      </c>
      <c r="G354" s="101"/>
      <c r="H354" s="102"/>
    </row>
    <row r="355" spans="2:8" x14ac:dyDescent="0.2">
      <c r="B355" s="39"/>
      <c r="C355" s="40"/>
      <c r="D355" s="41"/>
      <c r="E355" s="23"/>
      <c r="F355" s="14"/>
      <c r="G355" s="2"/>
      <c r="H355" s="15"/>
    </row>
    <row r="356" spans="2:8" ht="16" customHeight="1" thickBot="1" x14ac:dyDescent="0.25">
      <c r="B356" s="42"/>
      <c r="C356" s="43"/>
      <c r="D356" s="44"/>
      <c r="E356" s="23"/>
      <c r="F356" s="16"/>
      <c r="G356" s="17"/>
      <c r="H356" s="18"/>
    </row>
    <row r="357" spans="2:8" ht="17" customHeight="1" thickBot="1" x14ac:dyDescent="0.25">
      <c r="B357" s="96">
        <f>Master!D531</f>
        <v>0</v>
      </c>
      <c r="C357" s="97"/>
      <c r="D357" s="98"/>
      <c r="E357" s="23"/>
      <c r="F357" s="103">
        <f>Master!D547</f>
        <v>0</v>
      </c>
      <c r="G357" s="104"/>
      <c r="H357" s="105"/>
    </row>
    <row r="358" spans="2:8" ht="17" customHeight="1" thickBot="1" x14ac:dyDescent="0.25">
      <c r="B358" s="45" t="s">
        <v>638</v>
      </c>
      <c r="C358" s="46" t="s">
        <v>639</v>
      </c>
      <c r="D358" s="47" t="s">
        <v>2</v>
      </c>
      <c r="E358" s="23"/>
      <c r="F358" s="3" t="s">
        <v>638</v>
      </c>
      <c r="G358" s="3" t="s">
        <v>639</v>
      </c>
      <c r="H358" s="19" t="s">
        <v>2</v>
      </c>
    </row>
    <row r="359" spans="2:8" x14ac:dyDescent="0.2">
      <c r="B359" s="30" t="str">
        <f>Master!A531&amp;" Field"</f>
        <v>Z965 Field</v>
      </c>
      <c r="C359" s="31" t="str">
        <f>Master!A531&amp;" Panel"</f>
        <v>Z965 Panel</v>
      </c>
      <c r="D359" s="70">
        <f>Master!B531</f>
        <v>0</v>
      </c>
      <c r="E359" s="23"/>
      <c r="F359" s="5" t="str">
        <f>Master!A547&amp;" Field"</f>
        <v>Z981 Field</v>
      </c>
      <c r="G359" s="5" t="str">
        <f>Master!A547&amp;" Panel"</f>
        <v>Z981 Panel</v>
      </c>
      <c r="H359" s="13">
        <f>Master!B547</f>
        <v>0</v>
      </c>
    </row>
    <row r="360" spans="2:8" x14ac:dyDescent="0.2">
      <c r="B360" s="33" t="str">
        <f>Master!A532&amp;" Field"</f>
        <v>Z966 Field</v>
      </c>
      <c r="C360" s="34" t="str">
        <f>Master!A532&amp;" Panel"</f>
        <v>Z966 Panel</v>
      </c>
      <c r="D360" s="61">
        <f>Master!B532</f>
        <v>0</v>
      </c>
      <c r="E360" s="23"/>
      <c r="F360" s="5" t="str">
        <f>Master!A548&amp;" Field"</f>
        <v>Z982 Field</v>
      </c>
      <c r="G360" s="5" t="str">
        <f>Master!A548&amp;" Panel"</f>
        <v>Z982 Panel</v>
      </c>
      <c r="H360" s="13">
        <f>Master!B548</f>
        <v>0</v>
      </c>
    </row>
    <row r="361" spans="2:8" x14ac:dyDescent="0.2">
      <c r="B361" s="30" t="str">
        <f>Master!A533&amp;" Field"</f>
        <v>Z967 Field</v>
      </c>
      <c r="C361" s="31" t="str">
        <f>Master!A533&amp;" Panel"</f>
        <v>Z967 Panel</v>
      </c>
      <c r="D361" s="65">
        <f>Master!B533</f>
        <v>0</v>
      </c>
      <c r="E361" s="23"/>
      <c r="F361" s="5" t="str">
        <f>Master!A549&amp;" Field"</f>
        <v>Z983 Field</v>
      </c>
      <c r="G361" s="5" t="str">
        <f>Master!A549&amp;" Panel"</f>
        <v>Z983 Panel</v>
      </c>
      <c r="H361" s="13">
        <f>Master!B549</f>
        <v>0</v>
      </c>
    </row>
    <row r="362" spans="2:8" x14ac:dyDescent="0.2">
      <c r="B362" s="33" t="str">
        <f>Master!A534&amp;" Field"</f>
        <v>Z968 Field</v>
      </c>
      <c r="C362" s="34" t="str">
        <f>Master!A534&amp;" Panel"</f>
        <v>Z968 Panel</v>
      </c>
      <c r="D362" s="61">
        <f>Master!B534</f>
        <v>0</v>
      </c>
      <c r="E362" s="23"/>
      <c r="F362" s="5" t="str">
        <f>Master!A550&amp;" Field"</f>
        <v>Z984 Field</v>
      </c>
      <c r="G362" s="5" t="str">
        <f>Master!A550&amp;" Panel"</f>
        <v>Z984 Panel</v>
      </c>
      <c r="H362" s="13">
        <f>Master!B550</f>
        <v>0</v>
      </c>
    </row>
    <row r="363" spans="2:8" x14ac:dyDescent="0.2">
      <c r="B363" s="30" t="str">
        <f>Master!A535&amp;" Field"</f>
        <v>Z969 Field</v>
      </c>
      <c r="C363" s="31" t="str">
        <f>Master!A535&amp;" Panel"</f>
        <v>Z969 Panel</v>
      </c>
      <c r="D363" s="62">
        <f>Master!B535</f>
        <v>0</v>
      </c>
      <c r="E363" s="23"/>
      <c r="F363" s="5" t="str">
        <f>Master!A551&amp;" Field"</f>
        <v>Z985 Field</v>
      </c>
      <c r="G363" s="5" t="str">
        <f>Master!A551&amp;" Panel"</f>
        <v>Z985 Panel</v>
      </c>
      <c r="H363" s="13">
        <f>Master!B551</f>
        <v>0</v>
      </c>
    </row>
    <row r="364" spans="2:8" x14ac:dyDescent="0.2">
      <c r="B364" s="33" t="str">
        <f>Master!A536&amp;" Field"</f>
        <v>Z970 Field</v>
      </c>
      <c r="C364" s="34" t="str">
        <f>Master!A536&amp;" Panel"</f>
        <v>Z970 Panel</v>
      </c>
      <c r="D364" s="61">
        <f>Master!B536</f>
        <v>0</v>
      </c>
      <c r="E364" s="23"/>
      <c r="F364" s="5" t="str">
        <f>Master!A552&amp;" Field"</f>
        <v>Z986 Field</v>
      </c>
      <c r="G364" s="5" t="str">
        <f>Master!A552&amp;" Panel"</f>
        <v>Z986 Panel</v>
      </c>
      <c r="H364" s="13">
        <f>Master!B552</f>
        <v>0</v>
      </c>
    </row>
    <row r="365" spans="2:8" x14ac:dyDescent="0.2">
      <c r="B365" s="30" t="str">
        <f>Master!A537&amp;" Field"</f>
        <v>Z971 Field</v>
      </c>
      <c r="C365" s="31" t="str">
        <f>Master!A537&amp;" Panel"</f>
        <v>Z971 Panel</v>
      </c>
      <c r="D365" s="62">
        <f>Master!B537</f>
        <v>0</v>
      </c>
      <c r="E365" s="23"/>
      <c r="F365" s="5" t="str">
        <f>Master!A553&amp;" Field"</f>
        <v>Z987 Field</v>
      </c>
      <c r="G365" s="5" t="str">
        <f>Master!A553&amp;" Panel"</f>
        <v>Z987 Panel</v>
      </c>
      <c r="H365" s="13">
        <f>Master!B553</f>
        <v>0</v>
      </c>
    </row>
    <row r="366" spans="2:8" x14ac:dyDescent="0.2">
      <c r="B366" s="33" t="str">
        <f>Master!A538&amp;" Field"</f>
        <v>Z972 Field</v>
      </c>
      <c r="C366" s="34" t="str">
        <f>Master!A538&amp;" Panel"</f>
        <v>Z972 Panel</v>
      </c>
      <c r="D366" s="61">
        <f>Master!B538</f>
        <v>0</v>
      </c>
      <c r="E366" s="23"/>
      <c r="F366" s="5" t="str">
        <f>Master!A554&amp;" Field"</f>
        <v>Z988 Field</v>
      </c>
      <c r="G366" s="5" t="str">
        <f>Master!A554&amp;" Panel"</f>
        <v>Z988 Panel</v>
      </c>
      <c r="H366" s="13">
        <f>Master!B554</f>
        <v>0</v>
      </c>
    </row>
    <row r="367" spans="2:8" x14ac:dyDescent="0.2">
      <c r="B367" s="30" t="str">
        <f>Master!A539&amp;" Field"</f>
        <v>Z973 Field</v>
      </c>
      <c r="C367" s="31" t="str">
        <f>Master!A539&amp;" Panel"</f>
        <v>Z973 Panel</v>
      </c>
      <c r="D367" s="65">
        <f>Master!B539</f>
        <v>0</v>
      </c>
      <c r="E367" s="23"/>
      <c r="F367" s="5" t="str">
        <f>Master!A555&amp;" Field"</f>
        <v>Z989 Field</v>
      </c>
      <c r="G367" s="5" t="str">
        <f>Master!A555&amp;" Panel"</f>
        <v>Z989 Panel</v>
      </c>
      <c r="H367" s="13">
        <f>Master!B555</f>
        <v>0</v>
      </c>
    </row>
    <row r="368" spans="2:8" x14ac:dyDescent="0.2">
      <c r="B368" s="33" t="str">
        <f>Master!A540&amp;" Field"</f>
        <v>Z974 Field</v>
      </c>
      <c r="C368" s="34" t="str">
        <f>Master!A540&amp;" Panel"</f>
        <v>Z974 Panel</v>
      </c>
      <c r="D368" s="61">
        <f>Master!B540</f>
        <v>0</v>
      </c>
      <c r="E368" s="23"/>
      <c r="F368" s="5" t="str">
        <f>Master!A556&amp;" Field"</f>
        <v>Z990 Field</v>
      </c>
      <c r="G368" s="5" t="str">
        <f>Master!A556&amp;" Panel"</f>
        <v>Z990 Panel</v>
      </c>
      <c r="H368" s="13">
        <f>Master!B556</f>
        <v>0</v>
      </c>
    </row>
    <row r="369" spans="2:8" x14ac:dyDescent="0.2">
      <c r="B369" s="30" t="str">
        <f>Master!A541&amp;" Field"</f>
        <v>Z975 Field</v>
      </c>
      <c r="C369" s="31" t="str">
        <f>Master!A541&amp;" Panel"</f>
        <v>Z975 Panel</v>
      </c>
      <c r="D369" s="65">
        <f>Master!B541</f>
        <v>0</v>
      </c>
      <c r="E369" s="23"/>
      <c r="F369" s="5" t="str">
        <f>Master!A557&amp;" Field"</f>
        <v>Z991 Field</v>
      </c>
      <c r="G369" s="5" t="str">
        <f>Master!A557&amp;" Panel"</f>
        <v>Z991 Panel</v>
      </c>
      <c r="H369" s="13">
        <f>Master!B557</f>
        <v>0</v>
      </c>
    </row>
    <row r="370" spans="2:8" x14ac:dyDescent="0.2">
      <c r="B370" s="33" t="str">
        <f>Master!A542&amp;" Field"</f>
        <v>Z976 Field</v>
      </c>
      <c r="C370" s="34" t="str">
        <f>Master!A542&amp;" Panel"</f>
        <v>Z976 Panel</v>
      </c>
      <c r="D370" s="61">
        <f>Master!B542</f>
        <v>0</v>
      </c>
      <c r="E370" s="23"/>
      <c r="F370" s="5" t="str">
        <f>Master!A558&amp;" Field"</f>
        <v>Z992 Field</v>
      </c>
      <c r="G370" s="5" t="str">
        <f>Master!A558&amp;" Panel"</f>
        <v>Z992 Panel</v>
      </c>
      <c r="H370" s="13">
        <f>Master!B558</f>
        <v>0</v>
      </c>
    </row>
    <row r="371" spans="2:8" x14ac:dyDescent="0.2">
      <c r="B371" s="30" t="str">
        <f>Master!A543&amp;" Field"</f>
        <v>Z977 Field</v>
      </c>
      <c r="C371" s="31" t="str">
        <f>Master!A543&amp;" Panel"</f>
        <v>Z977 Panel</v>
      </c>
      <c r="D371" s="65">
        <f>Master!B543</f>
        <v>0</v>
      </c>
      <c r="E371" s="23"/>
      <c r="F371" s="5" t="str">
        <f>Master!A559&amp;" Field"</f>
        <v>Z993 Field</v>
      </c>
      <c r="G371" s="5" t="str">
        <f>Master!A559&amp;" Panel"</f>
        <v>Z993 Panel</v>
      </c>
      <c r="H371" s="13">
        <f>Master!B559</f>
        <v>0</v>
      </c>
    </row>
    <row r="372" spans="2:8" x14ac:dyDescent="0.2">
      <c r="B372" s="33" t="str">
        <f>Master!A544&amp;" Field"</f>
        <v>Z978 Field</v>
      </c>
      <c r="C372" s="34" t="str">
        <f>Master!A544&amp;" Panel"</f>
        <v>Z978 Panel</v>
      </c>
      <c r="D372" s="66">
        <f>Master!B544</f>
        <v>0</v>
      </c>
      <c r="E372" s="23"/>
      <c r="F372" s="5" t="str">
        <f>Master!A560&amp;" Field"</f>
        <v>Z994 Field</v>
      </c>
      <c r="G372" s="5" t="str">
        <f>Master!A560&amp;" Panel"</f>
        <v>Z994 Panel</v>
      </c>
      <c r="H372" s="13">
        <f>Master!B560</f>
        <v>0</v>
      </c>
    </row>
    <row r="373" spans="2:8" x14ac:dyDescent="0.2">
      <c r="B373" s="30" t="str">
        <f>Master!A545&amp;" Field"</f>
        <v>Z979 Field</v>
      </c>
      <c r="C373" s="31" t="str">
        <f>Master!A545&amp;" Panel"</f>
        <v>Z979 Panel</v>
      </c>
      <c r="D373" s="65" t="str">
        <f>Master!B545</f>
        <v>PS-29: A/C LOSS</v>
      </c>
      <c r="E373" s="23"/>
      <c r="F373" s="5" t="str">
        <f>Master!A561&amp;" Field"</f>
        <v>Z995 Field</v>
      </c>
      <c r="G373" s="5" t="str">
        <f>Master!A561&amp;" Panel"</f>
        <v>Z995 Panel</v>
      </c>
      <c r="H373" s="13" t="str">
        <f>Master!B561</f>
        <v>PS-30: A/C LOSS</v>
      </c>
    </row>
    <row r="374" spans="2:8" x14ac:dyDescent="0.2">
      <c r="B374" s="33" t="str">
        <f>Master!A546&amp;" Field"</f>
        <v>Z980 Field</v>
      </c>
      <c r="C374" s="34" t="str">
        <f>Master!A546&amp;" Panel"</f>
        <v>Z980 Panel</v>
      </c>
      <c r="D374" s="58" t="str">
        <f>Master!B546</f>
        <v>PS-29: BATT. TRBL.</v>
      </c>
      <c r="E374" s="23"/>
      <c r="F374" s="5" t="str">
        <f>Master!A562&amp;" Field"</f>
        <v>Z996 Field</v>
      </c>
      <c r="G374" s="5" t="str">
        <f>Master!A562&amp;" Panel"</f>
        <v>Z996 Panel</v>
      </c>
      <c r="H374" s="13" t="str">
        <f>Master!B562</f>
        <v>PS-30: BATT. TRBL.</v>
      </c>
    </row>
    <row r="375" spans="2:8" ht="16" customHeight="1" thickBot="1" x14ac:dyDescent="0.25">
      <c r="B375" s="35" t="s">
        <v>640</v>
      </c>
      <c r="C375" s="36" t="s">
        <v>697</v>
      </c>
      <c r="D375" s="71" t="s">
        <v>698</v>
      </c>
      <c r="E375" s="23"/>
      <c r="F375" s="5" t="s">
        <v>640</v>
      </c>
      <c r="G375" s="5" t="s">
        <v>699</v>
      </c>
      <c r="H375" s="13" t="s">
        <v>700</v>
      </c>
    </row>
  </sheetData>
  <mergeCells count="120">
    <mergeCell ref="B357:D357"/>
    <mergeCell ref="F277:H277"/>
    <mergeCell ref="B307:D307"/>
    <mergeCell ref="B27:D27"/>
    <mergeCell ref="B52:D52"/>
    <mergeCell ref="F252:H252"/>
    <mergeCell ref="B303:D303"/>
    <mergeCell ref="B2:D2"/>
    <mergeCell ref="F4:H4"/>
    <mergeCell ref="B153:D153"/>
    <mergeCell ref="B302:D302"/>
    <mergeCell ref="B129:D129"/>
    <mergeCell ref="B7:D7"/>
    <mergeCell ref="F227:H227"/>
    <mergeCell ref="B252:D252"/>
    <mergeCell ref="F54:H54"/>
    <mergeCell ref="B3:D3"/>
    <mergeCell ref="F357:H357"/>
    <mergeCell ref="F52:H52"/>
    <mergeCell ref="B177:D177"/>
    <mergeCell ref="F278:H278"/>
    <mergeCell ref="F107:H107"/>
    <mergeCell ref="F82:H82"/>
    <mergeCell ref="B154:D154"/>
    <mergeCell ref="F354:H354"/>
    <mergeCell ref="B202:D202"/>
    <mergeCell ref="B282:D282"/>
    <mergeCell ref="F329:H329"/>
    <mergeCell ref="F127:H127"/>
    <mergeCell ref="F302:H302"/>
    <mergeCell ref="B354:D354"/>
    <mergeCell ref="B329:D329"/>
    <mergeCell ref="F353:H353"/>
    <mergeCell ref="F332:H332"/>
    <mergeCell ref="B328:D328"/>
    <mergeCell ref="B157:D157"/>
    <mergeCell ref="F352:H352"/>
    <mergeCell ref="B277:D277"/>
    <mergeCell ref="F179:H179"/>
    <mergeCell ref="F328:H328"/>
    <mergeCell ref="F157:H157"/>
    <mergeCell ref="B327:D327"/>
    <mergeCell ref="F304:H304"/>
    <mergeCell ref="F254:H254"/>
    <mergeCell ref="F132:H132"/>
    <mergeCell ref="F29:H29"/>
    <mergeCell ref="F182:H182"/>
    <mergeCell ref="B232:D232"/>
    <mergeCell ref="F103:H103"/>
    <mergeCell ref="B127:D127"/>
    <mergeCell ref="B353:D353"/>
    <mergeCell ref="F204:H204"/>
    <mergeCell ref="B132:D132"/>
    <mergeCell ref="B182:D182"/>
    <mergeCell ref="B352:D352"/>
    <mergeCell ref="B103:D103"/>
    <mergeCell ref="F303:H303"/>
    <mergeCell ref="B104:D104"/>
    <mergeCell ref="F57:H57"/>
    <mergeCell ref="F53:H53"/>
    <mergeCell ref="B77:D77"/>
    <mergeCell ref="B102:D102"/>
    <mergeCell ref="B79:D79"/>
    <mergeCell ref="F153:H153"/>
    <mergeCell ref="B78:D78"/>
    <mergeCell ref="F129:H129"/>
    <mergeCell ref="B178:D178"/>
    <mergeCell ref="B128:D128"/>
    <mergeCell ref="B29:D29"/>
    <mergeCell ref="F28:H28"/>
    <mergeCell ref="B207:D207"/>
    <mergeCell ref="B203:D203"/>
    <mergeCell ref="B332:D332"/>
    <mergeCell ref="F7:H7"/>
    <mergeCell ref="F177:H177"/>
    <mergeCell ref="B228:D228"/>
    <mergeCell ref="B107:D107"/>
    <mergeCell ref="F154:H154"/>
    <mergeCell ref="F228:H228"/>
    <mergeCell ref="B82:D82"/>
    <mergeCell ref="F327:H327"/>
    <mergeCell ref="F27:H27"/>
    <mergeCell ref="B304:D304"/>
    <mergeCell ref="F229:H229"/>
    <mergeCell ref="F77:H77"/>
    <mergeCell ref="B278:D278"/>
    <mergeCell ref="B253:D253"/>
    <mergeCell ref="F307:H307"/>
    <mergeCell ref="F203:H203"/>
    <mergeCell ref="B57:D57"/>
    <mergeCell ref="B179:D179"/>
    <mergeCell ref="B152:D152"/>
    <mergeCell ref="F104:H104"/>
    <mergeCell ref="F282:H282"/>
    <mergeCell ref="B229:D229"/>
    <mergeCell ref="F79:H79"/>
    <mergeCell ref="F2:H2"/>
    <mergeCell ref="B53:D53"/>
    <mergeCell ref="F253:H253"/>
    <mergeCell ref="B28:D28"/>
    <mergeCell ref="B279:D279"/>
    <mergeCell ref="B257:D257"/>
    <mergeCell ref="F102:H102"/>
    <mergeCell ref="B254:D254"/>
    <mergeCell ref="F152:H152"/>
    <mergeCell ref="F279:H279"/>
    <mergeCell ref="B204:D204"/>
    <mergeCell ref="F207:H207"/>
    <mergeCell ref="B4:D4"/>
    <mergeCell ref="F257:H257"/>
    <mergeCell ref="F78:H78"/>
    <mergeCell ref="B227:D227"/>
    <mergeCell ref="B32:D32"/>
    <mergeCell ref="B54:D54"/>
    <mergeCell ref="F178:H178"/>
    <mergeCell ref="F128:H128"/>
    <mergeCell ref="F202:H202"/>
    <mergeCell ref="F3:H3"/>
    <mergeCell ref="F232:H232"/>
    <mergeCell ref="F32:H32"/>
  </mergeCells>
  <pageMargins left="0.25" right="0.25" top="0.75" bottom="0.75" header="0.3" footer="0.3"/>
  <pageSetup scale="18" orientation="landscape"/>
  <drawing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>
    <tabColor rgb="FFC00000"/>
    <pageSetUpPr fitToPage="1"/>
  </sheetPr>
  <dimension ref="A1:H388"/>
  <sheetViews>
    <sheetView topLeftCell="B157" zoomScale="90" zoomScaleNormal="90" workbookViewId="0">
      <selection activeCell="F189" sqref="F189:H189"/>
    </sheetView>
  </sheetViews>
  <sheetFormatPr baseColWidth="10" defaultColWidth="8.6640625" defaultRowHeight="15" x14ac:dyDescent="0.2"/>
  <cols>
    <col min="1" max="1" width="2.5" customWidth="1"/>
    <col min="2" max="2" width="31.33203125" customWidth="1"/>
    <col min="3" max="3" width="11.5" customWidth="1"/>
    <col min="4" max="4" width="55.33203125" style="21" customWidth="1"/>
    <col min="6" max="6" width="31.33203125" customWidth="1"/>
    <col min="7" max="7" width="11.5" customWidth="1"/>
    <col min="8" max="8" width="55.33203125" style="74" customWidth="1"/>
  </cols>
  <sheetData>
    <row r="1" spans="2:8" ht="16" customHeight="1" thickBot="1" x14ac:dyDescent="0.25"/>
    <row r="2" spans="2:8" ht="19" customHeight="1" x14ac:dyDescent="0.2">
      <c r="B2" s="115" t="str">
        <f>Header!B3</f>
        <v>[SCHOOL NAME]</v>
      </c>
      <c r="C2" s="119"/>
      <c r="D2" s="116"/>
      <c r="F2" s="115" t="str">
        <f>Header!B3</f>
        <v>[SCHOOL NAME]</v>
      </c>
      <c r="G2" s="119"/>
      <c r="H2" s="116"/>
    </row>
    <row r="3" spans="2:8" ht="19" customHeight="1" x14ac:dyDescent="0.2">
      <c r="B3" s="117" t="str">
        <f>Header!B4</f>
        <v>[ADDRESS]</v>
      </c>
      <c r="C3" s="93"/>
      <c r="D3" s="118"/>
      <c r="F3" s="117" t="str">
        <f>Header!B4</f>
        <v>[ADDRESS]</v>
      </c>
      <c r="G3" s="93"/>
      <c r="H3" s="118"/>
    </row>
    <row r="4" spans="2:8" ht="19" customHeight="1" x14ac:dyDescent="0.2">
      <c r="B4" s="117" t="str">
        <f>Header!B5</f>
        <v>[CITY, STATE ZIP]</v>
      </c>
      <c r="C4" s="93"/>
      <c r="D4" s="118"/>
      <c r="F4" s="117" t="str">
        <f>Header!B5</f>
        <v>[CITY, STATE ZIP]</v>
      </c>
      <c r="G4" s="93"/>
      <c r="H4" s="118"/>
    </row>
    <row r="5" spans="2:8" x14ac:dyDescent="0.2">
      <c r="B5" s="10"/>
      <c r="C5" s="11"/>
      <c r="D5" s="83"/>
      <c r="F5" s="10"/>
      <c r="G5" s="11"/>
      <c r="H5" s="6"/>
    </row>
    <row r="6" spans="2:8" ht="17" customHeight="1" thickBot="1" x14ac:dyDescent="0.25">
      <c r="B6" s="114"/>
      <c r="C6" s="104"/>
      <c r="D6" s="105"/>
      <c r="F6" s="114"/>
      <c r="G6" s="104"/>
      <c r="H6" s="105"/>
    </row>
    <row r="7" spans="2:8" ht="17" customHeight="1" thickBot="1" x14ac:dyDescent="0.25">
      <c r="B7" s="103">
        <f>Master!C67</f>
        <v>0</v>
      </c>
      <c r="C7" s="104"/>
      <c r="D7" s="105"/>
      <c r="F7" s="122">
        <f>Master!C83</f>
        <v>0</v>
      </c>
      <c r="G7" s="123"/>
      <c r="H7" s="124"/>
    </row>
    <row r="8" spans="2:8" ht="27" customHeight="1" thickBot="1" x14ac:dyDescent="0.25">
      <c r="B8" s="7" t="s">
        <v>0</v>
      </c>
      <c r="C8" s="7" t="s">
        <v>1</v>
      </c>
      <c r="D8" s="1" t="s">
        <v>2</v>
      </c>
      <c r="F8" s="7" t="s">
        <v>0</v>
      </c>
      <c r="G8" s="7" t="s">
        <v>1</v>
      </c>
      <c r="H8" s="1" t="s">
        <v>2</v>
      </c>
    </row>
    <row r="9" spans="2:8" ht="14.75" customHeight="1" x14ac:dyDescent="0.2">
      <c r="B9" s="5" t="s">
        <v>3</v>
      </c>
      <c r="C9" s="5" t="s">
        <v>4</v>
      </c>
      <c r="D9" s="12" t="s">
        <v>5</v>
      </c>
      <c r="F9" s="5" t="s">
        <v>3</v>
      </c>
      <c r="G9" s="5" t="s">
        <v>4</v>
      </c>
      <c r="H9" s="12" t="s">
        <v>5</v>
      </c>
    </row>
    <row r="10" spans="2:8" ht="14.75" customHeight="1" x14ac:dyDescent="0.2">
      <c r="B10" s="5">
        <v>1</v>
      </c>
      <c r="C10" s="5" t="str">
        <f>Master!A67</f>
        <v>Z501</v>
      </c>
      <c r="D10" s="85">
        <f>Master!B67</f>
        <v>0</v>
      </c>
      <c r="F10" s="5">
        <v>1</v>
      </c>
      <c r="G10" s="5" t="str">
        <f>Master!A83</f>
        <v>Z517</v>
      </c>
      <c r="H10" s="85">
        <f>Master!B83</f>
        <v>0</v>
      </c>
    </row>
    <row r="11" spans="2:8" ht="14.75" customHeight="1" x14ac:dyDescent="0.2">
      <c r="B11" s="5">
        <v>2</v>
      </c>
      <c r="C11" s="5" t="str">
        <f>Master!A68</f>
        <v>Z502</v>
      </c>
      <c r="D11" s="85">
        <f>Master!B68</f>
        <v>0</v>
      </c>
      <c r="F11" s="5">
        <v>2</v>
      </c>
      <c r="G11" s="5" t="str">
        <f>Master!A84</f>
        <v>Z518</v>
      </c>
      <c r="H11" s="85">
        <f>Master!B84</f>
        <v>0</v>
      </c>
    </row>
    <row r="12" spans="2:8" ht="14.75" customHeight="1" x14ac:dyDescent="0.2">
      <c r="B12" s="5">
        <v>3</v>
      </c>
      <c r="C12" s="5" t="str">
        <f>Master!A69</f>
        <v>Z503</v>
      </c>
      <c r="D12" s="85">
        <f>Master!B69</f>
        <v>0</v>
      </c>
      <c r="F12" s="5">
        <v>3</v>
      </c>
      <c r="G12" s="5" t="str">
        <f>Master!A85</f>
        <v>Z519</v>
      </c>
      <c r="H12" s="85">
        <f>Master!B85</f>
        <v>0</v>
      </c>
    </row>
    <row r="13" spans="2:8" x14ac:dyDescent="0.2">
      <c r="B13" s="5">
        <v>4</v>
      </c>
      <c r="C13" s="5" t="str">
        <f>Master!A70</f>
        <v>Z504</v>
      </c>
      <c r="D13" s="85">
        <f>Master!B70</f>
        <v>0</v>
      </c>
      <c r="F13" s="5">
        <v>4</v>
      </c>
      <c r="G13" s="5" t="str">
        <f>Master!A86</f>
        <v>Z520</v>
      </c>
      <c r="H13" s="85">
        <f>Master!B86</f>
        <v>0</v>
      </c>
    </row>
    <row r="14" spans="2:8" x14ac:dyDescent="0.2">
      <c r="B14" s="5">
        <v>5</v>
      </c>
      <c r="C14" s="5" t="str">
        <f>Master!A71</f>
        <v>Z505</v>
      </c>
      <c r="D14" s="85">
        <f>Master!B71</f>
        <v>0</v>
      </c>
      <c r="F14" s="5">
        <v>5</v>
      </c>
      <c r="G14" s="5" t="str">
        <f>Master!A87</f>
        <v>Z521</v>
      </c>
      <c r="H14" s="85">
        <f>Master!B87</f>
        <v>0</v>
      </c>
    </row>
    <row r="15" spans="2:8" x14ac:dyDescent="0.2">
      <c r="B15" s="5">
        <v>6</v>
      </c>
      <c r="C15" s="5" t="str">
        <f>Master!A72</f>
        <v>Z506</v>
      </c>
      <c r="D15" s="85">
        <f>Master!B72</f>
        <v>0</v>
      </c>
      <c r="F15" s="5">
        <v>6</v>
      </c>
      <c r="G15" s="5" t="str">
        <f>Master!A88</f>
        <v>Z522</v>
      </c>
      <c r="H15" s="85">
        <f>Master!B88</f>
        <v>0</v>
      </c>
    </row>
    <row r="16" spans="2:8" x14ac:dyDescent="0.2">
      <c r="B16" s="5">
        <v>7</v>
      </c>
      <c r="C16" s="5" t="str">
        <f>Master!A73</f>
        <v>Z507</v>
      </c>
      <c r="D16" s="85">
        <f>Master!B73</f>
        <v>0</v>
      </c>
      <c r="F16" s="5">
        <v>7</v>
      </c>
      <c r="G16" s="5" t="str">
        <f>Master!A89</f>
        <v>Z523</v>
      </c>
      <c r="H16" s="85">
        <f>Master!B89</f>
        <v>0</v>
      </c>
    </row>
    <row r="17" spans="2:8" x14ac:dyDescent="0.2">
      <c r="B17" s="5">
        <v>8</v>
      </c>
      <c r="C17" s="5" t="str">
        <f>Master!A74</f>
        <v>Z508</v>
      </c>
      <c r="D17" s="85">
        <f>Master!B74</f>
        <v>0</v>
      </c>
      <c r="F17" s="5">
        <v>8</v>
      </c>
      <c r="G17" s="5" t="str">
        <f>Master!A90</f>
        <v>Z524</v>
      </c>
      <c r="H17" s="85">
        <f>Master!B90</f>
        <v>0</v>
      </c>
    </row>
    <row r="18" spans="2:8" x14ac:dyDescent="0.2">
      <c r="B18" s="5">
        <v>9</v>
      </c>
      <c r="C18" s="5" t="str">
        <f>Master!A75</f>
        <v>Z509</v>
      </c>
      <c r="D18" s="85">
        <f>Master!B75</f>
        <v>0</v>
      </c>
      <c r="F18" s="5">
        <v>9</v>
      </c>
      <c r="G18" s="5" t="str">
        <f>Master!A91</f>
        <v>Z525</v>
      </c>
      <c r="H18" s="85">
        <f>Master!B91</f>
        <v>0</v>
      </c>
    </row>
    <row r="19" spans="2:8" x14ac:dyDescent="0.2">
      <c r="B19" s="5">
        <v>10</v>
      </c>
      <c r="C19" s="5" t="str">
        <f>Master!A76</f>
        <v>Z510</v>
      </c>
      <c r="D19" s="85">
        <f>Master!B76</f>
        <v>0</v>
      </c>
      <c r="F19" s="5">
        <v>10</v>
      </c>
      <c r="G19" s="5" t="str">
        <f>Master!A92</f>
        <v>Z526</v>
      </c>
      <c r="H19" s="85">
        <f>Master!B92</f>
        <v>0</v>
      </c>
    </row>
    <row r="20" spans="2:8" x14ac:dyDescent="0.2">
      <c r="B20" s="5">
        <v>11</v>
      </c>
      <c r="C20" s="5" t="str">
        <f>Master!A77</f>
        <v>Z511</v>
      </c>
      <c r="D20" s="85">
        <f>Master!B77</f>
        <v>0</v>
      </c>
      <c r="F20" s="5">
        <v>11</v>
      </c>
      <c r="G20" s="5" t="str">
        <f>Master!A93</f>
        <v>Z527</v>
      </c>
      <c r="H20" s="85">
        <f>Master!B93</f>
        <v>0</v>
      </c>
    </row>
    <row r="21" spans="2:8" x14ac:dyDescent="0.2">
      <c r="B21" s="5">
        <v>12</v>
      </c>
      <c r="C21" s="5" t="str">
        <f>Master!A78</f>
        <v>Z512</v>
      </c>
      <c r="D21" s="85">
        <f>Master!B78</f>
        <v>0</v>
      </c>
      <c r="F21" s="5">
        <v>12</v>
      </c>
      <c r="G21" s="5" t="str">
        <f>Master!A94</f>
        <v>Z528</v>
      </c>
      <c r="H21" s="85">
        <f>Master!B94</f>
        <v>0</v>
      </c>
    </row>
    <row r="22" spans="2:8" x14ac:dyDescent="0.2">
      <c r="B22" s="5">
        <v>13</v>
      </c>
      <c r="C22" s="5" t="str">
        <f>Master!A79</f>
        <v>Z513</v>
      </c>
      <c r="D22" s="85">
        <f>Master!B79</f>
        <v>0</v>
      </c>
      <c r="F22" s="5">
        <v>13</v>
      </c>
      <c r="G22" s="5" t="str">
        <f>Master!A95</f>
        <v>Z529</v>
      </c>
      <c r="H22" s="85">
        <f>Master!B95</f>
        <v>0</v>
      </c>
    </row>
    <row r="23" spans="2:8" x14ac:dyDescent="0.2">
      <c r="B23" s="5">
        <v>14</v>
      </c>
      <c r="C23" s="5" t="str">
        <f>Master!A80</f>
        <v>Z514</v>
      </c>
      <c r="D23" s="85">
        <f>Master!B80</f>
        <v>0</v>
      </c>
      <c r="F23" s="5">
        <v>14</v>
      </c>
      <c r="G23" s="5" t="str">
        <f>Master!A96</f>
        <v>Z530</v>
      </c>
      <c r="H23" s="85">
        <f>Master!B96</f>
        <v>0</v>
      </c>
    </row>
    <row r="24" spans="2:8" x14ac:dyDescent="0.2">
      <c r="B24" s="5">
        <v>15</v>
      </c>
      <c r="C24" s="5" t="str">
        <f>Master!A81</f>
        <v>Z515</v>
      </c>
      <c r="D24" s="85" t="str">
        <f>Master!B81</f>
        <v>PS-1: A/C LOSS</v>
      </c>
      <c r="F24" s="5">
        <v>15</v>
      </c>
      <c r="G24" s="5" t="str">
        <f>Master!A97</f>
        <v>Z531</v>
      </c>
      <c r="H24" s="85" t="str">
        <f>Master!B97</f>
        <v>PS-2: A/C LOSS</v>
      </c>
    </row>
    <row r="25" spans="2:8" x14ac:dyDescent="0.2">
      <c r="B25" s="5">
        <v>16</v>
      </c>
      <c r="C25" s="5" t="str">
        <f>Master!A82</f>
        <v>Z516</v>
      </c>
      <c r="D25" s="85" t="str">
        <f>Master!B82</f>
        <v>PS-1: BATT. TRBL.</v>
      </c>
      <c r="F25" s="5">
        <v>16</v>
      </c>
      <c r="G25" s="5" t="str">
        <f>Master!A98</f>
        <v>Z532</v>
      </c>
      <c r="H25" s="85" t="str">
        <f>Master!B98</f>
        <v>PS-2: BATT. TRBL.</v>
      </c>
    </row>
    <row r="27" spans="2:8" ht="16" customHeight="1" thickBot="1" x14ac:dyDescent="0.25"/>
    <row r="28" spans="2:8" ht="19" customHeight="1" x14ac:dyDescent="0.2">
      <c r="B28" s="115" t="str">
        <f>Header!B3</f>
        <v>[SCHOOL NAME]</v>
      </c>
      <c r="C28" s="119"/>
      <c r="D28" s="116"/>
      <c r="F28" s="115" t="str">
        <f>Header!B3</f>
        <v>[SCHOOL NAME]</v>
      </c>
      <c r="G28" s="119"/>
      <c r="H28" s="116"/>
    </row>
    <row r="29" spans="2:8" ht="19" customHeight="1" x14ac:dyDescent="0.2">
      <c r="B29" s="117" t="str">
        <f>Header!B4</f>
        <v>[ADDRESS]</v>
      </c>
      <c r="C29" s="93"/>
      <c r="D29" s="118"/>
      <c r="F29" s="117" t="str">
        <f>Header!B4</f>
        <v>[ADDRESS]</v>
      </c>
      <c r="G29" s="93"/>
      <c r="H29" s="118"/>
    </row>
    <row r="30" spans="2:8" ht="19" customHeight="1" x14ac:dyDescent="0.2">
      <c r="B30" s="117" t="str">
        <f>Header!B5</f>
        <v>[CITY, STATE ZIP]</v>
      </c>
      <c r="C30" s="93"/>
      <c r="D30" s="118"/>
      <c r="F30" s="117" t="str">
        <f>Header!B5</f>
        <v>[CITY, STATE ZIP]</v>
      </c>
      <c r="G30" s="93"/>
      <c r="H30" s="118"/>
    </row>
    <row r="31" spans="2:8" x14ac:dyDescent="0.2">
      <c r="B31" s="10"/>
      <c r="C31" s="11"/>
      <c r="D31" s="83"/>
      <c r="F31" s="10"/>
      <c r="G31" s="11"/>
      <c r="H31" s="6"/>
    </row>
    <row r="32" spans="2:8" ht="17" customHeight="1" thickBot="1" x14ac:dyDescent="0.25">
      <c r="B32" s="114"/>
      <c r="C32" s="104"/>
      <c r="D32" s="105"/>
      <c r="F32" s="114"/>
      <c r="G32" s="104"/>
      <c r="H32" s="105"/>
    </row>
    <row r="33" spans="2:8" ht="17" customHeight="1" thickBot="1" x14ac:dyDescent="0.25">
      <c r="B33" s="122">
        <f>Master!C99</f>
        <v>0</v>
      </c>
      <c r="C33" s="123"/>
      <c r="D33" s="124"/>
      <c r="F33" s="122">
        <f>Master!C163</f>
        <v>0</v>
      </c>
      <c r="G33" s="123"/>
      <c r="H33" s="124"/>
    </row>
    <row r="34" spans="2:8" ht="27" customHeight="1" thickBot="1" x14ac:dyDescent="0.25">
      <c r="B34" s="7" t="s">
        <v>0</v>
      </c>
      <c r="C34" s="7" t="s">
        <v>1</v>
      </c>
      <c r="D34" s="1" t="s">
        <v>2</v>
      </c>
      <c r="F34" s="7" t="s">
        <v>0</v>
      </c>
      <c r="G34" s="7" t="s">
        <v>1</v>
      </c>
      <c r="H34" s="1" t="s">
        <v>2</v>
      </c>
    </row>
    <row r="35" spans="2:8" ht="14.75" customHeight="1" x14ac:dyDescent="0.2">
      <c r="B35" s="5" t="s">
        <v>3</v>
      </c>
      <c r="C35" s="5" t="s">
        <v>4</v>
      </c>
      <c r="D35" s="12" t="s">
        <v>5</v>
      </c>
      <c r="F35" s="5" t="s">
        <v>3</v>
      </c>
      <c r="G35" s="5" t="s">
        <v>4</v>
      </c>
      <c r="H35" s="12" t="s">
        <v>5</v>
      </c>
    </row>
    <row r="36" spans="2:8" ht="14.75" customHeight="1" x14ac:dyDescent="0.2">
      <c r="B36" s="5">
        <v>1</v>
      </c>
      <c r="C36" s="5" t="str">
        <f>Master!A99</f>
        <v>Z533</v>
      </c>
      <c r="D36" s="85">
        <f>Master!B99</f>
        <v>0</v>
      </c>
      <c r="F36" s="5">
        <v>1</v>
      </c>
      <c r="G36" s="5" t="str">
        <f>Master!A115</f>
        <v>Z549</v>
      </c>
      <c r="H36" s="85">
        <f>Master!B115</f>
        <v>0</v>
      </c>
    </row>
    <row r="37" spans="2:8" ht="14.75" customHeight="1" x14ac:dyDescent="0.2">
      <c r="B37" s="5">
        <v>2</v>
      </c>
      <c r="C37" s="5" t="str">
        <f>Master!A100</f>
        <v>Z534</v>
      </c>
      <c r="D37" s="85">
        <f>Master!B100</f>
        <v>0</v>
      </c>
      <c r="F37" s="5">
        <v>2</v>
      </c>
      <c r="G37" s="5" t="str">
        <f>Master!A116</f>
        <v>Z550</v>
      </c>
      <c r="H37" s="85">
        <f>Master!B116</f>
        <v>0</v>
      </c>
    </row>
    <row r="38" spans="2:8" ht="14.75" customHeight="1" x14ac:dyDescent="0.2">
      <c r="B38" s="5">
        <v>3</v>
      </c>
      <c r="C38" s="5" t="str">
        <f>Master!A101</f>
        <v>Z535</v>
      </c>
      <c r="D38" s="85">
        <f>Master!B101</f>
        <v>0</v>
      </c>
      <c r="F38" s="5">
        <v>3</v>
      </c>
      <c r="G38" s="5" t="str">
        <f>Master!A117</f>
        <v>Z551</v>
      </c>
      <c r="H38" s="85">
        <f>Master!B117</f>
        <v>0</v>
      </c>
    </row>
    <row r="39" spans="2:8" x14ac:dyDescent="0.2">
      <c r="B39" s="5">
        <v>4</v>
      </c>
      <c r="C39" s="5" t="str">
        <f>Master!A102</f>
        <v>Z536</v>
      </c>
      <c r="D39" s="85">
        <f>Master!B102</f>
        <v>0</v>
      </c>
      <c r="F39" s="5">
        <v>4</v>
      </c>
      <c r="G39" s="5" t="str">
        <f>Master!A118</f>
        <v>Z552</v>
      </c>
      <c r="H39" s="85">
        <f>Master!B118</f>
        <v>0</v>
      </c>
    </row>
    <row r="40" spans="2:8" x14ac:dyDescent="0.2">
      <c r="B40" s="5">
        <v>5</v>
      </c>
      <c r="C40" s="5" t="str">
        <f>Master!A103</f>
        <v>Z537</v>
      </c>
      <c r="D40" s="85">
        <f>Master!B103</f>
        <v>0</v>
      </c>
      <c r="F40" s="5">
        <v>5</v>
      </c>
      <c r="G40" s="5" t="str">
        <f>Master!A119</f>
        <v>Z553</v>
      </c>
      <c r="H40" s="85">
        <f>Master!B119</f>
        <v>0</v>
      </c>
    </row>
    <row r="41" spans="2:8" x14ac:dyDescent="0.2">
      <c r="B41" s="5">
        <v>6</v>
      </c>
      <c r="C41" s="5" t="str">
        <f>Master!A104</f>
        <v>Z538</v>
      </c>
      <c r="D41" s="85">
        <f>Master!B104</f>
        <v>0</v>
      </c>
      <c r="F41" s="5">
        <v>6</v>
      </c>
      <c r="G41" s="5" t="str">
        <f>Master!A120</f>
        <v>Z554</v>
      </c>
      <c r="H41" s="85">
        <f>Master!B120</f>
        <v>0</v>
      </c>
    </row>
    <row r="42" spans="2:8" x14ac:dyDescent="0.2">
      <c r="B42" s="5">
        <v>7</v>
      </c>
      <c r="C42" s="5" t="str">
        <f>Master!A105</f>
        <v>Z539</v>
      </c>
      <c r="D42" s="85">
        <f>Master!B105</f>
        <v>0</v>
      </c>
      <c r="F42" s="5">
        <v>7</v>
      </c>
      <c r="G42" s="5" t="str">
        <f>Master!A121</f>
        <v>Z555</v>
      </c>
      <c r="H42" s="85">
        <f>Master!B121</f>
        <v>0</v>
      </c>
    </row>
    <row r="43" spans="2:8" x14ac:dyDescent="0.2">
      <c r="B43" s="5">
        <v>8</v>
      </c>
      <c r="C43" s="5" t="str">
        <f>Master!A106</f>
        <v>Z540</v>
      </c>
      <c r="D43" s="85">
        <f>Master!B106</f>
        <v>0</v>
      </c>
      <c r="F43" s="5">
        <v>8</v>
      </c>
      <c r="G43" s="5" t="str">
        <f>Master!A122</f>
        <v>Z556</v>
      </c>
      <c r="H43" s="85">
        <f>Master!B122</f>
        <v>0</v>
      </c>
    </row>
    <row r="44" spans="2:8" x14ac:dyDescent="0.2">
      <c r="B44" s="5">
        <v>9</v>
      </c>
      <c r="C44" s="5" t="str">
        <f>Master!A107</f>
        <v>Z541</v>
      </c>
      <c r="D44" s="85">
        <f>Master!B107</f>
        <v>0</v>
      </c>
      <c r="F44" s="5">
        <v>9</v>
      </c>
      <c r="G44" s="5" t="str">
        <f>Master!A123</f>
        <v>Z557</v>
      </c>
      <c r="H44" s="85">
        <f>Master!B123</f>
        <v>0</v>
      </c>
    </row>
    <row r="45" spans="2:8" x14ac:dyDescent="0.2">
      <c r="B45" s="5">
        <v>10</v>
      </c>
      <c r="C45" s="5" t="str">
        <f>Master!A108</f>
        <v>Z542</v>
      </c>
      <c r="D45" s="85">
        <f>Master!B108</f>
        <v>0</v>
      </c>
      <c r="F45" s="5">
        <v>10</v>
      </c>
      <c r="G45" s="5" t="str">
        <f>Master!A124</f>
        <v>Z558</v>
      </c>
      <c r="H45" s="85">
        <f>Master!B124</f>
        <v>0</v>
      </c>
    </row>
    <row r="46" spans="2:8" x14ac:dyDescent="0.2">
      <c r="B46" s="5">
        <v>11</v>
      </c>
      <c r="C46" s="5" t="str">
        <f>Master!A109</f>
        <v>Z543</v>
      </c>
      <c r="D46" s="85">
        <f>Master!B109</f>
        <v>0</v>
      </c>
      <c r="F46" s="5">
        <v>11</v>
      </c>
      <c r="G46" s="5" t="str">
        <f>Master!A125</f>
        <v>Z559</v>
      </c>
      <c r="H46" s="85">
        <f>Master!B125</f>
        <v>0</v>
      </c>
    </row>
    <row r="47" spans="2:8" x14ac:dyDescent="0.2">
      <c r="B47" s="5">
        <v>12</v>
      </c>
      <c r="C47" s="5" t="str">
        <f>Master!A110</f>
        <v>Z544</v>
      </c>
      <c r="D47" s="85">
        <f>Master!B110</f>
        <v>0</v>
      </c>
      <c r="F47" s="5">
        <v>12</v>
      </c>
      <c r="G47" s="5" t="str">
        <f>Master!A126</f>
        <v>Z560</v>
      </c>
      <c r="H47" s="85">
        <f>Master!B126</f>
        <v>0</v>
      </c>
    </row>
    <row r="48" spans="2:8" x14ac:dyDescent="0.2">
      <c r="B48" s="5">
        <v>13</v>
      </c>
      <c r="C48" s="5" t="str">
        <f>Master!A111</f>
        <v>Z545</v>
      </c>
      <c r="D48" s="85">
        <f>Master!B111</f>
        <v>0</v>
      </c>
      <c r="F48" s="5">
        <v>13</v>
      </c>
      <c r="G48" s="5" t="str">
        <f>Master!A127</f>
        <v>Z561</v>
      </c>
      <c r="H48" s="85">
        <f>Master!B127</f>
        <v>0</v>
      </c>
    </row>
    <row r="49" spans="2:8" x14ac:dyDescent="0.2">
      <c r="B49" s="5">
        <v>14</v>
      </c>
      <c r="C49" s="5" t="str">
        <f>Master!A112</f>
        <v>Z546</v>
      </c>
      <c r="D49" s="85">
        <f>Master!B112</f>
        <v>0</v>
      </c>
      <c r="F49" s="5">
        <v>14</v>
      </c>
      <c r="G49" s="5" t="str">
        <f>Master!A128</f>
        <v>Z562</v>
      </c>
      <c r="H49" s="85">
        <f>Master!B128</f>
        <v>0</v>
      </c>
    </row>
    <row r="50" spans="2:8" x14ac:dyDescent="0.2">
      <c r="B50" s="5">
        <v>15</v>
      </c>
      <c r="C50" s="5" t="str">
        <f>Master!A113</f>
        <v>Z547</v>
      </c>
      <c r="D50" s="85" t="str">
        <f>Master!B113</f>
        <v>PS-3: A/C LOSS</v>
      </c>
      <c r="F50" s="5">
        <v>15</v>
      </c>
      <c r="G50" s="5" t="str">
        <f>Master!A129</f>
        <v>Z563</v>
      </c>
      <c r="H50" s="85" t="str">
        <f>Master!B129</f>
        <v>PS-4: A/C LOSS</v>
      </c>
    </row>
    <row r="51" spans="2:8" x14ac:dyDescent="0.2">
      <c r="B51" s="5">
        <v>16</v>
      </c>
      <c r="C51" s="5" t="str">
        <f>Master!A114</f>
        <v>Z548</v>
      </c>
      <c r="D51" s="85" t="str">
        <f>Master!B114</f>
        <v>PS-3: BATT. TRBL.</v>
      </c>
      <c r="F51" s="5">
        <v>16</v>
      </c>
      <c r="G51" s="5" t="str">
        <f>Master!A130</f>
        <v>Z564</v>
      </c>
      <c r="H51" s="85" t="str">
        <f>Master!B130</f>
        <v>PS-4: BATT. TRBL.</v>
      </c>
    </row>
    <row r="53" spans="2:8" ht="16" customHeight="1" thickBot="1" x14ac:dyDescent="0.25"/>
    <row r="54" spans="2:8" ht="19" customHeight="1" x14ac:dyDescent="0.2">
      <c r="B54" s="115" t="str">
        <f>Header!B3</f>
        <v>[SCHOOL NAME]</v>
      </c>
      <c r="C54" s="119"/>
      <c r="D54" s="116"/>
      <c r="F54" s="115" t="str">
        <f>Header!B3</f>
        <v>[SCHOOL NAME]</v>
      </c>
      <c r="G54" s="119"/>
      <c r="H54" s="116"/>
    </row>
    <row r="55" spans="2:8" ht="19" customHeight="1" x14ac:dyDescent="0.2">
      <c r="B55" s="117" t="str">
        <f>Header!B4</f>
        <v>[ADDRESS]</v>
      </c>
      <c r="C55" s="93"/>
      <c r="D55" s="118"/>
      <c r="F55" s="117" t="str">
        <f>Header!B4</f>
        <v>[ADDRESS]</v>
      </c>
      <c r="G55" s="93"/>
      <c r="H55" s="118"/>
    </row>
    <row r="56" spans="2:8" ht="19" customHeight="1" x14ac:dyDescent="0.2">
      <c r="B56" s="117" t="str">
        <f>Header!B5</f>
        <v>[CITY, STATE ZIP]</v>
      </c>
      <c r="C56" s="93"/>
      <c r="D56" s="118"/>
      <c r="F56" s="117" t="str">
        <f>Header!B5</f>
        <v>[CITY, STATE ZIP]</v>
      </c>
      <c r="G56" s="93"/>
      <c r="H56" s="118"/>
    </row>
    <row r="57" spans="2:8" x14ac:dyDescent="0.2">
      <c r="B57" s="10"/>
      <c r="C57" s="11"/>
      <c r="D57" s="83"/>
      <c r="F57" s="10"/>
      <c r="G57" s="11"/>
      <c r="H57" s="6"/>
    </row>
    <row r="58" spans="2:8" ht="17" customHeight="1" thickBot="1" x14ac:dyDescent="0.25">
      <c r="B58" s="114"/>
      <c r="C58" s="104"/>
      <c r="D58" s="105"/>
      <c r="F58" s="114"/>
      <c r="G58" s="104"/>
      <c r="H58" s="105"/>
    </row>
    <row r="59" spans="2:8" ht="17" customHeight="1" thickBot="1" x14ac:dyDescent="0.25">
      <c r="B59" s="122">
        <f>Master!C179</f>
        <v>0</v>
      </c>
      <c r="C59" s="123"/>
      <c r="D59" s="124"/>
      <c r="F59" s="122">
        <f>Master!C195</f>
        <v>0</v>
      </c>
      <c r="G59" s="123"/>
      <c r="H59" s="124"/>
    </row>
    <row r="60" spans="2:8" ht="17" customHeight="1" thickBot="1" x14ac:dyDescent="0.25">
      <c r="B60" s="7" t="s">
        <v>0</v>
      </c>
      <c r="C60" s="7" t="s">
        <v>1</v>
      </c>
      <c r="D60" s="1" t="s">
        <v>2</v>
      </c>
      <c r="F60" s="7" t="s">
        <v>0</v>
      </c>
      <c r="G60" s="7" t="s">
        <v>1</v>
      </c>
      <c r="H60" s="1" t="s">
        <v>2</v>
      </c>
    </row>
    <row r="61" spans="2:8" ht="16" customHeight="1" x14ac:dyDescent="0.2">
      <c r="B61" s="5" t="s">
        <v>3</v>
      </c>
      <c r="C61" s="5" t="s">
        <v>4</v>
      </c>
      <c r="D61" s="12" t="s">
        <v>5</v>
      </c>
      <c r="F61" s="5" t="s">
        <v>3</v>
      </c>
      <c r="G61" s="5" t="s">
        <v>4</v>
      </c>
      <c r="H61" s="12" t="s">
        <v>5</v>
      </c>
    </row>
    <row r="62" spans="2:8" x14ac:dyDescent="0.2">
      <c r="B62" s="5">
        <v>1</v>
      </c>
      <c r="C62" s="5" t="str">
        <f>Master!A131</f>
        <v>Z565</v>
      </c>
      <c r="D62" s="85">
        <f>Master!B131</f>
        <v>0</v>
      </c>
      <c r="F62" s="5">
        <v>1</v>
      </c>
      <c r="G62" s="5" t="str">
        <f>Master!A147</f>
        <v>Z581</v>
      </c>
      <c r="H62" s="85">
        <f>Master!B147</f>
        <v>0</v>
      </c>
    </row>
    <row r="63" spans="2:8" x14ac:dyDescent="0.2">
      <c r="B63" s="5">
        <v>2</v>
      </c>
      <c r="C63" s="5" t="str">
        <f>Master!A132</f>
        <v>Z566</v>
      </c>
      <c r="D63" s="85">
        <f>Master!B132</f>
        <v>0</v>
      </c>
      <c r="F63" s="5">
        <v>2</v>
      </c>
      <c r="G63" s="5" t="str">
        <f>Master!A148</f>
        <v>Z582</v>
      </c>
      <c r="H63" s="85">
        <f>Master!B148</f>
        <v>0</v>
      </c>
    </row>
    <row r="64" spans="2:8" x14ac:dyDescent="0.2">
      <c r="B64" s="5">
        <v>3</v>
      </c>
      <c r="C64" s="5" t="str">
        <f>Master!A133</f>
        <v>Z567</v>
      </c>
      <c r="D64" s="85">
        <f>Master!B133</f>
        <v>0</v>
      </c>
      <c r="F64" s="5">
        <v>3</v>
      </c>
      <c r="G64" s="5" t="str">
        <f>Master!A149</f>
        <v>Z583</v>
      </c>
      <c r="H64" s="85">
        <f>Master!B149</f>
        <v>0</v>
      </c>
    </row>
    <row r="65" spans="2:8" x14ac:dyDescent="0.2">
      <c r="B65" s="5">
        <v>4</v>
      </c>
      <c r="C65" s="5" t="str">
        <f>Master!A134</f>
        <v>Z568</v>
      </c>
      <c r="D65" s="85">
        <f>Master!B134</f>
        <v>0</v>
      </c>
      <c r="F65" s="5">
        <v>4</v>
      </c>
      <c r="G65" s="5" t="str">
        <f>Master!A150</f>
        <v>Z584</v>
      </c>
      <c r="H65" s="85">
        <f>Master!B150</f>
        <v>0</v>
      </c>
    </row>
    <row r="66" spans="2:8" x14ac:dyDescent="0.2">
      <c r="B66" s="5">
        <v>5</v>
      </c>
      <c r="C66" s="5" t="str">
        <f>Master!A135</f>
        <v>Z569</v>
      </c>
      <c r="D66" s="85">
        <f>Master!B135</f>
        <v>0</v>
      </c>
      <c r="F66" s="5">
        <v>5</v>
      </c>
      <c r="G66" s="5" t="str">
        <f>Master!A151</f>
        <v>Z585</v>
      </c>
      <c r="H66" s="85">
        <f>Master!B151</f>
        <v>0</v>
      </c>
    </row>
    <row r="67" spans="2:8" x14ac:dyDescent="0.2">
      <c r="B67" s="5">
        <v>6</v>
      </c>
      <c r="C67" s="5" t="str">
        <f>Master!A136</f>
        <v>Z570</v>
      </c>
      <c r="D67" s="85">
        <f>Master!B136</f>
        <v>0</v>
      </c>
      <c r="F67" s="5">
        <v>6</v>
      </c>
      <c r="G67" s="5" t="str">
        <f>Master!A152</f>
        <v>Z586</v>
      </c>
      <c r="H67" s="85">
        <f>Master!B152</f>
        <v>0</v>
      </c>
    </row>
    <row r="68" spans="2:8" x14ac:dyDescent="0.2">
      <c r="B68" s="5">
        <v>7</v>
      </c>
      <c r="C68" s="5" t="str">
        <f>Master!A137</f>
        <v>Z571</v>
      </c>
      <c r="D68" s="85">
        <f>Master!B137</f>
        <v>0</v>
      </c>
      <c r="F68" s="5">
        <v>7</v>
      </c>
      <c r="G68" s="5" t="str">
        <f>Master!A153</f>
        <v>Z587</v>
      </c>
      <c r="H68" s="85">
        <f>Master!B153</f>
        <v>0</v>
      </c>
    </row>
    <row r="69" spans="2:8" x14ac:dyDescent="0.2">
      <c r="B69" s="5">
        <v>8</v>
      </c>
      <c r="C69" s="5" t="str">
        <f>Master!A138</f>
        <v>Z572</v>
      </c>
      <c r="D69" s="85">
        <f>Master!B138</f>
        <v>0</v>
      </c>
      <c r="F69" s="5">
        <v>8</v>
      </c>
      <c r="G69" s="5" t="str">
        <f>Master!A154</f>
        <v>Z588</v>
      </c>
      <c r="H69" s="85">
        <f>Master!B154</f>
        <v>0</v>
      </c>
    </row>
    <row r="70" spans="2:8" x14ac:dyDescent="0.2">
      <c r="B70" s="5">
        <v>9</v>
      </c>
      <c r="C70" s="5" t="str">
        <f>Master!A139</f>
        <v>Z573</v>
      </c>
      <c r="D70" s="85">
        <f>Master!B139</f>
        <v>0</v>
      </c>
      <c r="F70" s="5">
        <v>9</v>
      </c>
      <c r="G70" s="5" t="str">
        <f>Master!A155</f>
        <v>Z589</v>
      </c>
      <c r="H70" s="85">
        <f>Master!B155</f>
        <v>0</v>
      </c>
    </row>
    <row r="71" spans="2:8" x14ac:dyDescent="0.2">
      <c r="B71" s="5">
        <v>10</v>
      </c>
      <c r="C71" s="5" t="str">
        <f>Master!A140</f>
        <v>Z574</v>
      </c>
      <c r="D71" s="85">
        <f>Master!B140</f>
        <v>0</v>
      </c>
      <c r="F71" s="5">
        <v>10</v>
      </c>
      <c r="G71" s="5" t="str">
        <f>Master!A156</f>
        <v>Z590</v>
      </c>
      <c r="H71" s="85">
        <f>Master!B156</f>
        <v>0</v>
      </c>
    </row>
    <row r="72" spans="2:8" x14ac:dyDescent="0.2">
      <c r="B72" s="5">
        <v>11</v>
      </c>
      <c r="C72" s="5" t="str">
        <f>Master!A141</f>
        <v>Z575</v>
      </c>
      <c r="D72" s="85">
        <f>Master!B141</f>
        <v>0</v>
      </c>
      <c r="F72" s="5">
        <v>11</v>
      </c>
      <c r="G72" s="5" t="str">
        <f>Master!A157</f>
        <v>Z591</v>
      </c>
      <c r="H72" s="85">
        <f>Master!B157</f>
        <v>0</v>
      </c>
    </row>
    <row r="73" spans="2:8" x14ac:dyDescent="0.2">
      <c r="B73" s="5">
        <v>12</v>
      </c>
      <c r="C73" s="5" t="str">
        <f>Master!A142</f>
        <v>Z576</v>
      </c>
      <c r="D73" s="85">
        <f>Master!B142</f>
        <v>0</v>
      </c>
      <c r="F73" s="5">
        <v>12</v>
      </c>
      <c r="G73" s="5" t="str">
        <f>Master!A158</f>
        <v>Z592</v>
      </c>
      <c r="H73" s="85">
        <f>Master!B158</f>
        <v>0</v>
      </c>
    </row>
    <row r="74" spans="2:8" x14ac:dyDescent="0.2">
      <c r="B74" s="5">
        <v>13</v>
      </c>
      <c r="C74" s="5" t="str">
        <f>Master!A143</f>
        <v>Z577</v>
      </c>
      <c r="D74" s="85">
        <f>Master!B143</f>
        <v>0</v>
      </c>
      <c r="F74" s="5">
        <v>13</v>
      </c>
      <c r="G74" s="5" t="str">
        <f>Master!A159</f>
        <v>Z593</v>
      </c>
      <c r="H74" s="85">
        <f>Master!B159</f>
        <v>0</v>
      </c>
    </row>
    <row r="75" spans="2:8" x14ac:dyDescent="0.2">
      <c r="B75" s="5">
        <v>14</v>
      </c>
      <c r="C75" s="5" t="str">
        <f>Master!A144</f>
        <v>Z578</v>
      </c>
      <c r="D75" s="85">
        <f>Master!B144</f>
        <v>0</v>
      </c>
      <c r="F75" s="5">
        <v>14</v>
      </c>
      <c r="G75" s="5" t="str">
        <f>Master!A160</f>
        <v>Z594</v>
      </c>
      <c r="H75" s="85">
        <f>Master!B160</f>
        <v>0</v>
      </c>
    </row>
    <row r="76" spans="2:8" x14ac:dyDescent="0.2">
      <c r="B76" s="5">
        <v>15</v>
      </c>
      <c r="C76" s="5" t="str">
        <f>Master!A145</f>
        <v>Z579</v>
      </c>
      <c r="D76" s="85" t="str">
        <f>Master!B145</f>
        <v>PS-5: A/C LOSS</v>
      </c>
      <c r="F76" s="5">
        <v>15</v>
      </c>
      <c r="G76" s="5" t="str">
        <f>Master!A161</f>
        <v>Z595</v>
      </c>
      <c r="H76" s="85" t="str">
        <f>Master!B161</f>
        <v>PS-6: A/C LOSS</v>
      </c>
    </row>
    <row r="77" spans="2:8" x14ac:dyDescent="0.2">
      <c r="B77" s="5">
        <v>16</v>
      </c>
      <c r="C77" s="5" t="str">
        <f>Master!A146</f>
        <v>Z580</v>
      </c>
      <c r="D77" s="85" t="str">
        <f>Master!B146</f>
        <v>PS-5: BATT. TRBL.</v>
      </c>
      <c r="F77" s="5">
        <v>16</v>
      </c>
      <c r="G77" s="5" t="str">
        <f>Master!A162</f>
        <v>Z596</v>
      </c>
      <c r="H77" s="85" t="str">
        <f>Master!B162</f>
        <v>PS-6: BATT. TRBL.</v>
      </c>
    </row>
    <row r="79" spans="2:8" ht="16" customHeight="1" thickBot="1" x14ac:dyDescent="0.25"/>
    <row r="80" spans="2:8" ht="19" customHeight="1" x14ac:dyDescent="0.2">
      <c r="B80" s="115" t="str">
        <f>Header!B3</f>
        <v>[SCHOOL NAME]</v>
      </c>
      <c r="C80" s="119"/>
      <c r="D80" s="116"/>
      <c r="F80" s="115" t="str">
        <f>Header!B3</f>
        <v>[SCHOOL NAME]</v>
      </c>
      <c r="G80" s="119"/>
      <c r="H80" s="116"/>
    </row>
    <row r="81" spans="2:8" ht="19" customHeight="1" x14ac:dyDescent="0.2">
      <c r="B81" s="117" t="str">
        <f>Header!B4</f>
        <v>[ADDRESS]</v>
      </c>
      <c r="C81" s="93"/>
      <c r="D81" s="118"/>
      <c r="F81" s="117" t="str">
        <f>Header!B4</f>
        <v>[ADDRESS]</v>
      </c>
      <c r="G81" s="93"/>
      <c r="H81" s="118"/>
    </row>
    <row r="82" spans="2:8" ht="19" customHeight="1" x14ac:dyDescent="0.2">
      <c r="B82" s="117" t="str">
        <f>Header!B5</f>
        <v>[CITY, STATE ZIP]</v>
      </c>
      <c r="C82" s="93"/>
      <c r="D82" s="118"/>
      <c r="F82" s="117" t="str">
        <f>Header!B5</f>
        <v>[CITY, STATE ZIP]</v>
      </c>
      <c r="G82" s="93"/>
      <c r="H82" s="118"/>
    </row>
    <row r="83" spans="2:8" x14ac:dyDescent="0.2">
      <c r="B83" s="10"/>
      <c r="C83" s="11"/>
      <c r="D83" s="83"/>
      <c r="F83" s="10"/>
      <c r="G83" s="11"/>
      <c r="H83" s="6"/>
    </row>
    <row r="84" spans="2:8" ht="17" customHeight="1" thickBot="1" x14ac:dyDescent="0.25">
      <c r="B84" s="114"/>
      <c r="C84" s="104"/>
      <c r="D84" s="105"/>
      <c r="F84" s="114"/>
      <c r="G84" s="104"/>
      <c r="H84" s="105"/>
    </row>
    <row r="85" spans="2:8" ht="17" customHeight="1" thickBot="1" x14ac:dyDescent="0.25">
      <c r="B85" s="122">
        <f>Master!C211</f>
        <v>0</v>
      </c>
      <c r="C85" s="123"/>
      <c r="D85" s="124"/>
      <c r="F85" s="122">
        <f>Master!C259</f>
        <v>0</v>
      </c>
      <c r="G85" s="123"/>
      <c r="H85" s="124"/>
    </row>
    <row r="86" spans="2:8" ht="17" customHeight="1" thickBot="1" x14ac:dyDescent="0.25">
      <c r="B86" s="7" t="s">
        <v>0</v>
      </c>
      <c r="C86" s="7" t="s">
        <v>1</v>
      </c>
      <c r="D86" s="1" t="s">
        <v>2</v>
      </c>
      <c r="F86" s="7" t="s">
        <v>0</v>
      </c>
      <c r="G86" s="7" t="s">
        <v>1</v>
      </c>
      <c r="H86" s="1" t="s">
        <v>2</v>
      </c>
    </row>
    <row r="87" spans="2:8" ht="16" customHeight="1" x14ac:dyDescent="0.2">
      <c r="B87" s="5" t="s">
        <v>3</v>
      </c>
      <c r="C87" s="5" t="s">
        <v>4</v>
      </c>
      <c r="D87" s="12" t="s">
        <v>5</v>
      </c>
      <c r="F87" s="5" t="s">
        <v>3</v>
      </c>
      <c r="G87" s="5" t="s">
        <v>4</v>
      </c>
      <c r="H87" s="12" t="s">
        <v>5</v>
      </c>
    </row>
    <row r="88" spans="2:8" x14ac:dyDescent="0.2">
      <c r="B88" s="5">
        <v>1</v>
      </c>
      <c r="C88" s="5" t="str">
        <f>Master!A167</f>
        <v>Z601</v>
      </c>
      <c r="D88" s="85">
        <f>Master!B167</f>
        <v>0</v>
      </c>
      <c r="F88" s="5">
        <v>1</v>
      </c>
      <c r="G88" s="5" t="str">
        <f>Master!A183</f>
        <v>Z617</v>
      </c>
      <c r="H88" s="85">
        <f>Master!B183</f>
        <v>0</v>
      </c>
    </row>
    <row r="89" spans="2:8" x14ac:dyDescent="0.2">
      <c r="B89" s="5">
        <v>2</v>
      </c>
      <c r="C89" s="5" t="str">
        <f>Master!A168</f>
        <v>Z602</v>
      </c>
      <c r="D89" s="85">
        <f>Master!B168</f>
        <v>0</v>
      </c>
      <c r="F89" s="5">
        <v>2</v>
      </c>
      <c r="G89" s="5" t="str">
        <f>Master!A184</f>
        <v>Z618</v>
      </c>
      <c r="H89" s="85">
        <f>Master!B184</f>
        <v>0</v>
      </c>
    </row>
    <row r="90" spans="2:8" x14ac:dyDescent="0.2">
      <c r="B90" s="5">
        <v>3</v>
      </c>
      <c r="C90" s="5" t="str">
        <f>Master!A169</f>
        <v>Z603</v>
      </c>
      <c r="D90" s="85">
        <f>Master!B169</f>
        <v>0</v>
      </c>
      <c r="F90" s="5">
        <v>3</v>
      </c>
      <c r="G90" s="5" t="str">
        <f>Master!A185</f>
        <v>Z619</v>
      </c>
      <c r="H90" s="85">
        <f>Master!B185</f>
        <v>0</v>
      </c>
    </row>
    <row r="91" spans="2:8" x14ac:dyDescent="0.2">
      <c r="B91" s="5">
        <v>4</v>
      </c>
      <c r="C91" s="5" t="str">
        <f>Master!A170</f>
        <v>Z604</v>
      </c>
      <c r="D91" s="85">
        <f>Master!B170</f>
        <v>0</v>
      </c>
      <c r="F91" s="5">
        <v>4</v>
      </c>
      <c r="G91" s="5" t="str">
        <f>Master!A186</f>
        <v>Z620</v>
      </c>
      <c r="H91" s="85">
        <f>Master!B186</f>
        <v>0</v>
      </c>
    </row>
    <row r="92" spans="2:8" x14ac:dyDescent="0.2">
      <c r="B92" s="5">
        <v>5</v>
      </c>
      <c r="C92" s="5" t="str">
        <f>Master!A171</f>
        <v>Z605</v>
      </c>
      <c r="D92" s="85">
        <f>Master!B171</f>
        <v>0</v>
      </c>
      <c r="F92" s="5">
        <v>5</v>
      </c>
      <c r="G92" s="5" t="str">
        <f>Master!A187</f>
        <v>Z621</v>
      </c>
      <c r="H92" s="85">
        <f>Master!B187</f>
        <v>0</v>
      </c>
    </row>
    <row r="93" spans="2:8" x14ac:dyDescent="0.2">
      <c r="B93" s="5">
        <v>6</v>
      </c>
      <c r="C93" s="5" t="str">
        <f>Master!A172</f>
        <v>Z606</v>
      </c>
      <c r="D93" s="85">
        <f>Master!B172</f>
        <v>0</v>
      </c>
      <c r="F93" s="5">
        <v>6</v>
      </c>
      <c r="G93" s="5" t="str">
        <f>Master!A188</f>
        <v>Z622</v>
      </c>
      <c r="H93" s="85">
        <f>Master!B188</f>
        <v>0</v>
      </c>
    </row>
    <row r="94" spans="2:8" x14ac:dyDescent="0.2">
      <c r="B94" s="5">
        <v>7</v>
      </c>
      <c r="C94" s="5" t="str">
        <f>Master!A173</f>
        <v>Z607</v>
      </c>
      <c r="D94" s="85">
        <f>Master!B173</f>
        <v>0</v>
      </c>
      <c r="F94" s="5">
        <v>7</v>
      </c>
      <c r="G94" s="5" t="str">
        <f>Master!A189</f>
        <v>Z623</v>
      </c>
      <c r="H94" s="85">
        <f>Master!B189</f>
        <v>0</v>
      </c>
    </row>
    <row r="95" spans="2:8" x14ac:dyDescent="0.2">
      <c r="B95" s="5">
        <v>8</v>
      </c>
      <c r="C95" s="5" t="str">
        <f>Master!A174</f>
        <v>Z608</v>
      </c>
      <c r="D95" s="85">
        <f>Master!B174</f>
        <v>0</v>
      </c>
      <c r="F95" s="5">
        <v>8</v>
      </c>
      <c r="G95" s="5" t="str">
        <f>Master!A190</f>
        <v>Z624</v>
      </c>
      <c r="H95" s="85">
        <f>Master!B190</f>
        <v>0</v>
      </c>
    </row>
    <row r="96" spans="2:8" x14ac:dyDescent="0.2">
      <c r="B96" s="5">
        <v>9</v>
      </c>
      <c r="C96" s="5" t="str">
        <f>Master!A175</f>
        <v>Z609</v>
      </c>
      <c r="D96" s="85">
        <f>Master!B175</f>
        <v>0</v>
      </c>
      <c r="F96" s="5">
        <v>9</v>
      </c>
      <c r="G96" s="5" t="str">
        <f>Master!A191</f>
        <v>Z625</v>
      </c>
      <c r="H96" s="85">
        <f>Master!B191</f>
        <v>0</v>
      </c>
    </row>
    <row r="97" spans="1:8" x14ac:dyDescent="0.2">
      <c r="B97" s="5">
        <v>10</v>
      </c>
      <c r="C97" s="5" t="str">
        <f>Master!A176</f>
        <v>Z610</v>
      </c>
      <c r="D97" s="85">
        <f>Master!B176</f>
        <v>0</v>
      </c>
      <c r="F97" s="5">
        <v>10</v>
      </c>
      <c r="G97" s="5" t="str">
        <f>Master!A192</f>
        <v>Z626</v>
      </c>
      <c r="H97" s="85">
        <f>Master!B192</f>
        <v>0</v>
      </c>
    </row>
    <row r="98" spans="1:8" x14ac:dyDescent="0.2">
      <c r="B98" s="5">
        <v>11</v>
      </c>
      <c r="C98" s="5" t="str">
        <f>Master!A177</f>
        <v>Z611</v>
      </c>
      <c r="D98" s="85">
        <f>Master!B177</f>
        <v>0</v>
      </c>
      <c r="F98" s="5">
        <v>11</v>
      </c>
      <c r="G98" s="5" t="str">
        <f>Master!A193</f>
        <v>Z627</v>
      </c>
      <c r="H98" s="85">
        <f>Master!B193</f>
        <v>0</v>
      </c>
    </row>
    <row r="99" spans="1:8" x14ac:dyDescent="0.2">
      <c r="B99" s="5">
        <v>12</v>
      </c>
      <c r="C99" s="5" t="str">
        <f>Master!A178</f>
        <v>Z612</v>
      </c>
      <c r="D99" s="85">
        <f>Master!B178</f>
        <v>0</v>
      </c>
      <c r="F99" s="5">
        <v>12</v>
      </c>
      <c r="G99" s="5" t="str">
        <f>Master!A194</f>
        <v>Z628</v>
      </c>
      <c r="H99" s="85">
        <f>Master!B194</f>
        <v>0</v>
      </c>
    </row>
    <row r="100" spans="1:8" x14ac:dyDescent="0.2">
      <c r="B100" s="5">
        <v>13</v>
      </c>
      <c r="C100" s="5" t="str">
        <f>Master!A179</f>
        <v>Z613</v>
      </c>
      <c r="D100" s="85">
        <f>Master!B179</f>
        <v>0</v>
      </c>
      <c r="F100" s="5">
        <v>13</v>
      </c>
      <c r="G100" s="5" t="str">
        <f>Master!A195</f>
        <v>Z629</v>
      </c>
      <c r="H100" s="85">
        <f>Master!B195</f>
        <v>0</v>
      </c>
    </row>
    <row r="101" spans="1:8" x14ac:dyDescent="0.2">
      <c r="B101" s="5">
        <v>14</v>
      </c>
      <c r="C101" s="5" t="str">
        <f>Master!A180</f>
        <v>Z614</v>
      </c>
      <c r="D101" s="85">
        <f>Master!B180</f>
        <v>0</v>
      </c>
      <c r="F101" s="5">
        <v>14</v>
      </c>
      <c r="G101" s="5" t="str">
        <f>Master!A196</f>
        <v>Z630</v>
      </c>
      <c r="H101" s="85">
        <f>Master!B196</f>
        <v>0</v>
      </c>
    </row>
    <row r="102" spans="1:8" x14ac:dyDescent="0.2">
      <c r="B102" s="5">
        <v>15</v>
      </c>
      <c r="C102" s="5" t="str">
        <f>Master!A181</f>
        <v>Z615</v>
      </c>
      <c r="D102" s="85" t="str">
        <f>Master!B181</f>
        <v>PS-7: A/C LOSS</v>
      </c>
      <c r="F102" s="5">
        <v>15</v>
      </c>
      <c r="G102" s="5" t="str">
        <f>Master!A197</f>
        <v>Z631</v>
      </c>
      <c r="H102" s="85" t="str">
        <f>Master!B197</f>
        <v>PS-8: A/C LOSS</v>
      </c>
    </row>
    <row r="103" spans="1:8" x14ac:dyDescent="0.2">
      <c r="B103" s="5">
        <v>16</v>
      </c>
      <c r="C103" s="5" t="str">
        <f>Master!A182</f>
        <v>Z616</v>
      </c>
      <c r="D103" s="85" t="str">
        <f>Master!B182</f>
        <v>PS-7: BATT. TRBL.</v>
      </c>
      <c r="F103" s="5">
        <v>16</v>
      </c>
      <c r="G103" s="5" t="str">
        <f>Master!A198</f>
        <v>Z632</v>
      </c>
      <c r="H103" s="85" t="str">
        <f>Master!B198</f>
        <v>PS-8: BATT. TRBL.</v>
      </c>
    </row>
    <row r="105" spans="1:8" ht="16" customHeight="1" thickBot="1" x14ac:dyDescent="0.25"/>
    <row r="106" spans="1:8" ht="19" customHeight="1" x14ac:dyDescent="0.2">
      <c r="A106" s="23"/>
      <c r="B106" s="130" t="str">
        <f>Header!B3</f>
        <v>[SCHOOL NAME]</v>
      </c>
      <c r="C106" s="119"/>
      <c r="D106" s="131"/>
      <c r="E106" s="23"/>
      <c r="F106" s="130" t="str">
        <f>Header!B3</f>
        <v>[SCHOOL NAME]</v>
      </c>
      <c r="G106" s="119"/>
      <c r="H106" s="131"/>
    </row>
    <row r="107" spans="1:8" ht="19" customHeight="1" x14ac:dyDescent="0.2">
      <c r="A107" s="23"/>
      <c r="B107" s="125" t="str">
        <f>Header!B4</f>
        <v>[ADDRESS]</v>
      </c>
      <c r="C107" s="93"/>
      <c r="D107" s="126"/>
      <c r="E107" s="23"/>
      <c r="F107" s="125" t="str">
        <f>Header!B4</f>
        <v>[ADDRESS]</v>
      </c>
      <c r="G107" s="93"/>
      <c r="H107" s="126"/>
    </row>
    <row r="108" spans="1:8" ht="19" customHeight="1" x14ac:dyDescent="0.2">
      <c r="A108" s="23"/>
      <c r="B108" s="125" t="str">
        <f>Header!B5</f>
        <v>[CITY, STATE ZIP]</v>
      </c>
      <c r="C108" s="93"/>
      <c r="D108" s="126"/>
      <c r="E108" s="23"/>
      <c r="F108" s="125" t="str">
        <f>Header!B5</f>
        <v>[CITY, STATE ZIP]</v>
      </c>
      <c r="G108" s="93"/>
      <c r="H108" s="126"/>
    </row>
    <row r="109" spans="1:8" x14ac:dyDescent="0.2">
      <c r="A109" s="23"/>
      <c r="B109" s="24"/>
      <c r="C109" s="25"/>
      <c r="D109" s="84"/>
      <c r="E109" s="23"/>
      <c r="F109" s="24"/>
      <c r="G109" s="25"/>
      <c r="H109" s="26"/>
    </row>
    <row r="110" spans="1:8" ht="17" customHeight="1" thickBot="1" x14ac:dyDescent="0.25">
      <c r="A110" s="23"/>
      <c r="B110" s="132"/>
      <c r="C110" s="104"/>
      <c r="D110" s="133"/>
      <c r="E110" s="23"/>
      <c r="F110" s="132"/>
      <c r="G110" s="104"/>
      <c r="H110" s="133"/>
    </row>
    <row r="111" spans="1:8" ht="17" customHeight="1" thickBot="1" x14ac:dyDescent="0.25">
      <c r="A111" s="23"/>
      <c r="B111" s="127">
        <f>Master!C275</f>
        <v>0</v>
      </c>
      <c r="C111" s="128"/>
      <c r="D111" s="129"/>
      <c r="E111" s="23"/>
      <c r="F111" s="127">
        <f>Master!C291</f>
        <v>0</v>
      </c>
      <c r="G111" s="128"/>
      <c r="H111" s="129"/>
    </row>
    <row r="112" spans="1:8" ht="17" customHeight="1" thickBot="1" x14ac:dyDescent="0.25">
      <c r="A112" s="23"/>
      <c r="B112" s="27" t="s">
        <v>0</v>
      </c>
      <c r="C112" s="28" t="s">
        <v>1</v>
      </c>
      <c r="D112" s="29" t="s">
        <v>2</v>
      </c>
      <c r="E112" s="23"/>
      <c r="F112" s="27" t="s">
        <v>0</v>
      </c>
      <c r="G112" s="28" t="s">
        <v>1</v>
      </c>
      <c r="H112" s="29" t="s">
        <v>2</v>
      </c>
    </row>
    <row r="113" spans="1:8" ht="16" customHeight="1" x14ac:dyDescent="0.2">
      <c r="A113" s="23"/>
      <c r="B113" s="30" t="s">
        <v>3</v>
      </c>
      <c r="C113" s="31" t="s">
        <v>4</v>
      </c>
      <c r="D113" s="32" t="s">
        <v>5</v>
      </c>
      <c r="E113" s="23"/>
      <c r="F113" s="30" t="s">
        <v>3</v>
      </c>
      <c r="G113" s="31" t="s">
        <v>4</v>
      </c>
      <c r="H113" s="32" t="s">
        <v>5</v>
      </c>
    </row>
    <row r="114" spans="1:8" x14ac:dyDescent="0.2">
      <c r="A114" s="23"/>
      <c r="B114" s="33">
        <v>1</v>
      </c>
      <c r="C114" s="34" t="str">
        <f>Master!A199</f>
        <v>Z633</v>
      </c>
      <c r="D114" s="86">
        <f>Master!B199</f>
        <v>0</v>
      </c>
      <c r="E114" s="23"/>
      <c r="F114" s="33">
        <v>1</v>
      </c>
      <c r="G114" s="34" t="str">
        <f>Master!A215</f>
        <v>Z649</v>
      </c>
      <c r="H114" s="86">
        <f>Master!B215</f>
        <v>0</v>
      </c>
    </row>
    <row r="115" spans="1:8" x14ac:dyDescent="0.2">
      <c r="A115" s="23"/>
      <c r="B115" s="30">
        <v>2</v>
      </c>
      <c r="C115" s="31" t="str">
        <f>Master!A200</f>
        <v>Z634</v>
      </c>
      <c r="D115" s="87">
        <f>Master!B200</f>
        <v>0</v>
      </c>
      <c r="E115" s="23"/>
      <c r="F115" s="30">
        <v>2</v>
      </c>
      <c r="G115" s="31" t="str">
        <f>Master!A216</f>
        <v>Z650</v>
      </c>
      <c r="H115" s="87">
        <f>Master!B216</f>
        <v>0</v>
      </c>
    </row>
    <row r="116" spans="1:8" x14ac:dyDescent="0.2">
      <c r="A116" s="23"/>
      <c r="B116" s="33">
        <v>3</v>
      </c>
      <c r="C116" s="34" t="str">
        <f>Master!A201</f>
        <v>Z635</v>
      </c>
      <c r="D116" s="86">
        <f>Master!B201</f>
        <v>0</v>
      </c>
      <c r="E116" s="23"/>
      <c r="F116" s="33">
        <v>3</v>
      </c>
      <c r="G116" s="34" t="str">
        <f>Master!A217</f>
        <v>Z651</v>
      </c>
      <c r="H116" s="86">
        <f>Master!B217</f>
        <v>0</v>
      </c>
    </row>
    <row r="117" spans="1:8" x14ac:dyDescent="0.2">
      <c r="A117" s="23"/>
      <c r="B117" s="30">
        <v>4</v>
      </c>
      <c r="C117" s="31" t="str">
        <f>Master!A202</f>
        <v>Z636</v>
      </c>
      <c r="D117" s="87">
        <f>Master!B202</f>
        <v>0</v>
      </c>
      <c r="E117" s="23"/>
      <c r="F117" s="30">
        <v>4</v>
      </c>
      <c r="G117" s="31" t="str">
        <f>Master!A218</f>
        <v>Z652</v>
      </c>
      <c r="H117" s="87">
        <f>Master!B218</f>
        <v>0</v>
      </c>
    </row>
    <row r="118" spans="1:8" x14ac:dyDescent="0.2">
      <c r="A118" s="23"/>
      <c r="B118" s="33">
        <v>5</v>
      </c>
      <c r="C118" s="34" t="str">
        <f>Master!A203</f>
        <v>Z637</v>
      </c>
      <c r="D118" s="86">
        <f>Master!B203</f>
        <v>0</v>
      </c>
      <c r="E118" s="23"/>
      <c r="F118" s="33">
        <v>5</v>
      </c>
      <c r="G118" s="34" t="str">
        <f>Master!A219</f>
        <v>Z653</v>
      </c>
      <c r="H118" s="86">
        <f>Master!B219</f>
        <v>0</v>
      </c>
    </row>
    <row r="119" spans="1:8" x14ac:dyDescent="0.2">
      <c r="A119" s="23"/>
      <c r="B119" s="30">
        <v>6</v>
      </c>
      <c r="C119" s="31" t="str">
        <f>Master!A204</f>
        <v>Z638</v>
      </c>
      <c r="D119" s="87">
        <f>Master!B204</f>
        <v>0</v>
      </c>
      <c r="E119" s="23"/>
      <c r="F119" s="30">
        <v>6</v>
      </c>
      <c r="G119" s="31" t="str">
        <f>Master!A220</f>
        <v>Z654</v>
      </c>
      <c r="H119" s="87">
        <f>Master!B220</f>
        <v>0</v>
      </c>
    </row>
    <row r="120" spans="1:8" x14ac:dyDescent="0.2">
      <c r="A120" s="23"/>
      <c r="B120" s="33">
        <v>7</v>
      </c>
      <c r="C120" s="34" t="str">
        <f>Master!A205</f>
        <v>Z639</v>
      </c>
      <c r="D120" s="86">
        <f>Master!B205</f>
        <v>0</v>
      </c>
      <c r="E120" s="23"/>
      <c r="F120" s="33">
        <v>7</v>
      </c>
      <c r="G120" s="34" t="str">
        <f>Master!A221</f>
        <v>Z655</v>
      </c>
      <c r="H120" s="86">
        <f>Master!B221</f>
        <v>0</v>
      </c>
    </row>
    <row r="121" spans="1:8" x14ac:dyDescent="0.2">
      <c r="A121" s="23"/>
      <c r="B121" s="30">
        <v>8</v>
      </c>
      <c r="C121" s="31" t="str">
        <f>Master!A206</f>
        <v>Z640</v>
      </c>
      <c r="D121" s="87">
        <f>Master!B206</f>
        <v>0</v>
      </c>
      <c r="E121" s="23"/>
      <c r="F121" s="30">
        <v>8</v>
      </c>
      <c r="G121" s="31" t="str">
        <f>Master!A222</f>
        <v>Z656</v>
      </c>
      <c r="H121" s="87">
        <f>Master!B222</f>
        <v>0</v>
      </c>
    </row>
    <row r="122" spans="1:8" x14ac:dyDescent="0.2">
      <c r="A122" s="23"/>
      <c r="B122" s="33">
        <v>9</v>
      </c>
      <c r="C122" s="34" t="str">
        <f>Master!A207</f>
        <v>Z641</v>
      </c>
      <c r="D122" s="86">
        <f>Master!B207</f>
        <v>0</v>
      </c>
      <c r="E122" s="23"/>
      <c r="F122" s="33">
        <v>9</v>
      </c>
      <c r="G122" s="34" t="str">
        <f>Master!A223</f>
        <v>Z657</v>
      </c>
      <c r="H122" s="86">
        <f>Master!B223</f>
        <v>0</v>
      </c>
    </row>
    <row r="123" spans="1:8" x14ac:dyDescent="0.2">
      <c r="A123" s="23"/>
      <c r="B123" s="30">
        <v>10</v>
      </c>
      <c r="C123" s="31" t="str">
        <f>Master!A208</f>
        <v>Z642</v>
      </c>
      <c r="D123" s="87">
        <f>Master!B208</f>
        <v>0</v>
      </c>
      <c r="E123" s="23"/>
      <c r="F123" s="30">
        <v>10</v>
      </c>
      <c r="G123" s="31" t="str">
        <f>Master!A224</f>
        <v>Z658</v>
      </c>
      <c r="H123" s="87">
        <f>Master!B224</f>
        <v>0</v>
      </c>
    </row>
    <row r="124" spans="1:8" x14ac:dyDescent="0.2">
      <c r="A124" s="23"/>
      <c r="B124" s="33">
        <v>11</v>
      </c>
      <c r="C124" s="34" t="str">
        <f>Master!A209</f>
        <v>Z643</v>
      </c>
      <c r="D124" s="86">
        <f>Master!B209</f>
        <v>0</v>
      </c>
      <c r="E124" s="23"/>
      <c r="F124" s="33">
        <v>11</v>
      </c>
      <c r="G124" s="34" t="str">
        <f>Master!A225</f>
        <v>Z659</v>
      </c>
      <c r="H124" s="86">
        <f>Master!B225</f>
        <v>0</v>
      </c>
    </row>
    <row r="125" spans="1:8" x14ac:dyDescent="0.2">
      <c r="A125" s="23"/>
      <c r="B125" s="30">
        <v>12</v>
      </c>
      <c r="C125" s="31" t="str">
        <f>Master!A210</f>
        <v>Z644</v>
      </c>
      <c r="D125" s="87">
        <f>Master!B210</f>
        <v>0</v>
      </c>
      <c r="E125" s="23"/>
      <c r="F125" s="30">
        <v>12</v>
      </c>
      <c r="G125" s="31" t="str">
        <f>Master!A226</f>
        <v>Z660</v>
      </c>
      <c r="H125" s="87">
        <f>Master!B226</f>
        <v>0</v>
      </c>
    </row>
    <row r="126" spans="1:8" x14ac:dyDescent="0.2">
      <c r="A126" s="23"/>
      <c r="B126" s="33">
        <v>13</v>
      </c>
      <c r="C126" s="34" t="str">
        <f>Master!A211</f>
        <v>Z645</v>
      </c>
      <c r="D126" s="86">
        <f>Master!B211</f>
        <v>0</v>
      </c>
      <c r="E126" s="23"/>
      <c r="F126" s="33">
        <v>13</v>
      </c>
      <c r="G126" s="34" t="str">
        <f>Master!A227</f>
        <v>Z661</v>
      </c>
      <c r="H126" s="86">
        <f>Master!B227</f>
        <v>0</v>
      </c>
    </row>
    <row r="127" spans="1:8" x14ac:dyDescent="0.2">
      <c r="A127" s="23"/>
      <c r="B127" s="30">
        <v>14</v>
      </c>
      <c r="C127" s="31" t="str">
        <f>Master!A212</f>
        <v>Z646</v>
      </c>
      <c r="D127" s="87">
        <f>Master!B212</f>
        <v>0</v>
      </c>
      <c r="E127" s="23"/>
      <c r="F127" s="30">
        <v>14</v>
      </c>
      <c r="G127" s="31" t="str">
        <f>Master!A228</f>
        <v>Z662</v>
      </c>
      <c r="H127" s="87">
        <f>Master!B228</f>
        <v>0</v>
      </c>
    </row>
    <row r="128" spans="1:8" x14ac:dyDescent="0.2">
      <c r="A128" s="23"/>
      <c r="B128" s="33">
        <v>15</v>
      </c>
      <c r="C128" s="34" t="str">
        <f>Master!A213</f>
        <v>Z647</v>
      </c>
      <c r="D128" s="86" t="str">
        <f>Master!B213</f>
        <v>PS-9: A/C LOSS</v>
      </c>
      <c r="E128" s="23"/>
      <c r="F128" s="33">
        <v>15</v>
      </c>
      <c r="G128" s="34" t="str">
        <f>Master!A229</f>
        <v>Z663</v>
      </c>
      <c r="H128" s="86" t="str">
        <f>Master!B229</f>
        <v>PS-10: A/C LOSS</v>
      </c>
    </row>
    <row r="129" spans="1:8" ht="16" customHeight="1" thickBot="1" x14ac:dyDescent="0.25">
      <c r="A129" s="23"/>
      <c r="B129" s="35">
        <v>16</v>
      </c>
      <c r="C129" s="36" t="str">
        <f>Master!A214</f>
        <v>Z648</v>
      </c>
      <c r="D129" s="88" t="str">
        <f>Master!B214</f>
        <v>PS-9: BATT. TRBL.</v>
      </c>
      <c r="E129" s="23"/>
      <c r="F129" s="35">
        <v>16</v>
      </c>
      <c r="G129" s="36" t="str">
        <f>Master!A230</f>
        <v>Z664</v>
      </c>
      <c r="H129" s="88" t="str">
        <f>Master!B230</f>
        <v>PS-10: BATT. TRBL.</v>
      </c>
    </row>
    <row r="131" spans="1:8" ht="16" customHeight="1" thickBot="1" x14ac:dyDescent="0.25"/>
    <row r="132" spans="1:8" ht="19" customHeight="1" x14ac:dyDescent="0.2">
      <c r="A132" s="23"/>
      <c r="B132" s="130" t="str">
        <f>Header!B3</f>
        <v>[SCHOOL NAME]</v>
      </c>
      <c r="C132" s="119"/>
      <c r="D132" s="131"/>
      <c r="E132" s="23"/>
      <c r="F132" s="130" t="str">
        <f>Header!B3</f>
        <v>[SCHOOL NAME]</v>
      </c>
      <c r="G132" s="119"/>
      <c r="H132" s="131"/>
    </row>
    <row r="133" spans="1:8" ht="19" customHeight="1" x14ac:dyDescent="0.2">
      <c r="A133" s="23"/>
      <c r="B133" s="125" t="str">
        <f>Header!B4</f>
        <v>[ADDRESS]</v>
      </c>
      <c r="C133" s="93"/>
      <c r="D133" s="126"/>
      <c r="E133" s="23"/>
      <c r="F133" s="125" t="str">
        <f>Header!B4</f>
        <v>[ADDRESS]</v>
      </c>
      <c r="G133" s="93"/>
      <c r="H133" s="126"/>
    </row>
    <row r="134" spans="1:8" ht="19" customHeight="1" x14ac:dyDescent="0.2">
      <c r="A134" s="23"/>
      <c r="B134" s="125" t="str">
        <f>Header!B5</f>
        <v>[CITY, STATE ZIP]</v>
      </c>
      <c r="C134" s="93"/>
      <c r="D134" s="126"/>
      <c r="E134" s="23"/>
      <c r="F134" s="125" t="str">
        <f>Header!B5</f>
        <v>[CITY, STATE ZIP]</v>
      </c>
      <c r="G134" s="93"/>
      <c r="H134" s="126"/>
    </row>
    <row r="135" spans="1:8" x14ac:dyDescent="0.2">
      <c r="A135" s="23"/>
      <c r="B135" s="24"/>
      <c r="C135" s="25"/>
      <c r="D135" s="84"/>
      <c r="E135" s="23"/>
      <c r="F135" s="24"/>
      <c r="G135" s="25"/>
      <c r="H135" s="26"/>
    </row>
    <row r="136" spans="1:8" ht="17" customHeight="1" thickBot="1" x14ac:dyDescent="0.25">
      <c r="A136" s="23"/>
      <c r="B136" s="132"/>
      <c r="C136" s="104"/>
      <c r="D136" s="133"/>
      <c r="E136" s="23"/>
      <c r="F136" s="132"/>
      <c r="G136" s="104"/>
      <c r="H136" s="133"/>
    </row>
    <row r="137" spans="1:8" ht="17" customHeight="1" thickBot="1" x14ac:dyDescent="0.25">
      <c r="A137" s="23"/>
      <c r="B137" s="127">
        <f>Master!C354</f>
        <v>0</v>
      </c>
      <c r="C137" s="128"/>
      <c r="D137" s="129"/>
      <c r="E137" s="23"/>
      <c r="F137" s="127">
        <f>Master!C370</f>
        <v>0</v>
      </c>
      <c r="G137" s="128"/>
      <c r="H137" s="129"/>
    </row>
    <row r="138" spans="1:8" ht="17" customHeight="1" thickBot="1" x14ac:dyDescent="0.25">
      <c r="A138" s="23"/>
      <c r="B138" s="27" t="s">
        <v>0</v>
      </c>
      <c r="C138" s="28" t="s">
        <v>1</v>
      </c>
      <c r="D138" s="29" t="s">
        <v>2</v>
      </c>
      <c r="E138" s="23"/>
      <c r="F138" s="27" t="s">
        <v>0</v>
      </c>
      <c r="G138" s="28" t="s">
        <v>1</v>
      </c>
      <c r="H138" s="29" t="s">
        <v>2</v>
      </c>
    </row>
    <row r="139" spans="1:8" ht="16" customHeight="1" x14ac:dyDescent="0.2">
      <c r="A139" s="23"/>
      <c r="B139" s="30" t="s">
        <v>3</v>
      </c>
      <c r="C139" s="31" t="s">
        <v>4</v>
      </c>
      <c r="D139" s="32" t="s">
        <v>5</v>
      </c>
      <c r="E139" s="23"/>
      <c r="F139" s="30" t="s">
        <v>3</v>
      </c>
      <c r="G139" s="31" t="s">
        <v>4</v>
      </c>
      <c r="H139" s="32" t="s">
        <v>5</v>
      </c>
    </row>
    <row r="140" spans="1:8" x14ac:dyDescent="0.2">
      <c r="A140" s="23"/>
      <c r="B140" s="33">
        <v>1</v>
      </c>
      <c r="C140" s="34" t="str">
        <f>Master!A231</f>
        <v>Z665</v>
      </c>
      <c r="D140" s="86">
        <f>Master!B231</f>
        <v>0</v>
      </c>
      <c r="E140" s="23"/>
      <c r="F140" s="33">
        <v>1</v>
      </c>
      <c r="G140" s="34" t="str">
        <f>Master!A247</f>
        <v>Z681</v>
      </c>
      <c r="H140" s="86">
        <f>Master!B247</f>
        <v>0</v>
      </c>
    </row>
    <row r="141" spans="1:8" x14ac:dyDescent="0.2">
      <c r="A141" s="23"/>
      <c r="B141" s="30">
        <v>2</v>
      </c>
      <c r="C141" s="31" t="str">
        <f>Master!A232</f>
        <v>Z666</v>
      </c>
      <c r="D141" s="87">
        <f>Master!B232</f>
        <v>0</v>
      </c>
      <c r="E141" s="23"/>
      <c r="F141" s="30">
        <v>2</v>
      </c>
      <c r="G141" s="31" t="str">
        <f>Master!A248</f>
        <v>Z682</v>
      </c>
      <c r="H141" s="87">
        <f>Master!B248</f>
        <v>0</v>
      </c>
    </row>
    <row r="142" spans="1:8" x14ac:dyDescent="0.2">
      <c r="A142" s="23"/>
      <c r="B142" s="33">
        <v>3</v>
      </c>
      <c r="C142" s="34" t="str">
        <f>Master!A233</f>
        <v>Z667</v>
      </c>
      <c r="D142" s="86">
        <f>Master!B233</f>
        <v>0</v>
      </c>
      <c r="E142" s="23"/>
      <c r="F142" s="33">
        <v>3</v>
      </c>
      <c r="G142" s="34" t="str">
        <f>Master!A249</f>
        <v>Z683</v>
      </c>
      <c r="H142" s="86">
        <f>Master!B249</f>
        <v>0</v>
      </c>
    </row>
    <row r="143" spans="1:8" x14ac:dyDescent="0.2">
      <c r="A143" s="23"/>
      <c r="B143" s="30">
        <v>4</v>
      </c>
      <c r="C143" s="31" t="str">
        <f>Master!A234</f>
        <v>Z668</v>
      </c>
      <c r="D143" s="87">
        <f>Master!B234</f>
        <v>0</v>
      </c>
      <c r="E143" s="23"/>
      <c r="F143" s="30">
        <v>4</v>
      </c>
      <c r="G143" s="31" t="str">
        <f>Master!A250</f>
        <v>Z684</v>
      </c>
      <c r="H143" s="87">
        <f>Master!B250</f>
        <v>0</v>
      </c>
    </row>
    <row r="144" spans="1:8" x14ac:dyDescent="0.2">
      <c r="A144" s="23"/>
      <c r="B144" s="33">
        <v>5</v>
      </c>
      <c r="C144" s="34" t="str">
        <f>Master!A235</f>
        <v>Z669</v>
      </c>
      <c r="D144" s="86">
        <f>Master!B235</f>
        <v>0</v>
      </c>
      <c r="E144" s="23"/>
      <c r="F144" s="33">
        <v>5</v>
      </c>
      <c r="G144" s="34" t="str">
        <f>Master!A251</f>
        <v>Z685</v>
      </c>
      <c r="H144" s="86">
        <f>Master!B251</f>
        <v>0</v>
      </c>
    </row>
    <row r="145" spans="1:8" x14ac:dyDescent="0.2">
      <c r="A145" s="23"/>
      <c r="B145" s="30">
        <v>6</v>
      </c>
      <c r="C145" s="31" t="str">
        <f>Master!A236</f>
        <v>Z670</v>
      </c>
      <c r="D145" s="87">
        <f>Master!B236</f>
        <v>0</v>
      </c>
      <c r="E145" s="23"/>
      <c r="F145" s="30">
        <v>6</v>
      </c>
      <c r="G145" s="31" t="str">
        <f>Master!A252</f>
        <v>Z686</v>
      </c>
      <c r="H145" s="87">
        <f>Master!B252</f>
        <v>0</v>
      </c>
    </row>
    <row r="146" spans="1:8" x14ac:dyDescent="0.2">
      <c r="A146" s="23"/>
      <c r="B146" s="33">
        <v>7</v>
      </c>
      <c r="C146" s="34" t="str">
        <f>Master!A237</f>
        <v>Z671</v>
      </c>
      <c r="D146" s="86">
        <f>Master!B237</f>
        <v>0</v>
      </c>
      <c r="E146" s="23"/>
      <c r="F146" s="33">
        <v>7</v>
      </c>
      <c r="G146" s="34" t="str">
        <f>Master!A253</f>
        <v>Z687</v>
      </c>
      <c r="H146" s="86">
        <f>Master!B253</f>
        <v>0</v>
      </c>
    </row>
    <row r="147" spans="1:8" x14ac:dyDescent="0.2">
      <c r="A147" s="23"/>
      <c r="B147" s="30">
        <v>8</v>
      </c>
      <c r="C147" s="31" t="str">
        <f>Master!A238</f>
        <v>Z672</v>
      </c>
      <c r="D147" s="87">
        <f>Master!B238</f>
        <v>0</v>
      </c>
      <c r="E147" s="23"/>
      <c r="F147" s="30">
        <v>8</v>
      </c>
      <c r="G147" s="31" t="str">
        <f>Master!A254</f>
        <v>Z688</v>
      </c>
      <c r="H147" s="87">
        <f>Master!B254</f>
        <v>0</v>
      </c>
    </row>
    <row r="148" spans="1:8" x14ac:dyDescent="0.2">
      <c r="A148" s="23"/>
      <c r="B148" s="33">
        <v>9</v>
      </c>
      <c r="C148" s="34" t="str">
        <f>Master!A239</f>
        <v>Z673</v>
      </c>
      <c r="D148" s="86">
        <f>Master!B239</f>
        <v>0</v>
      </c>
      <c r="E148" s="23"/>
      <c r="F148" s="33">
        <v>9</v>
      </c>
      <c r="G148" s="34" t="str">
        <f>Master!A255</f>
        <v>Z689</v>
      </c>
      <c r="H148" s="86">
        <f>Master!B255</f>
        <v>0</v>
      </c>
    </row>
    <row r="149" spans="1:8" x14ac:dyDescent="0.2">
      <c r="A149" s="23"/>
      <c r="B149" s="30">
        <v>10</v>
      </c>
      <c r="C149" s="31" t="str">
        <f>Master!A240</f>
        <v>Z674</v>
      </c>
      <c r="D149" s="87">
        <f>Master!B240</f>
        <v>0</v>
      </c>
      <c r="E149" s="23"/>
      <c r="F149" s="30">
        <v>10</v>
      </c>
      <c r="G149" s="31" t="str">
        <f>Master!A256</f>
        <v>Z690</v>
      </c>
      <c r="H149" s="87">
        <f>Master!B256</f>
        <v>0</v>
      </c>
    </row>
    <row r="150" spans="1:8" x14ac:dyDescent="0.2">
      <c r="A150" s="23"/>
      <c r="B150" s="33">
        <v>11</v>
      </c>
      <c r="C150" s="34" t="str">
        <f>Master!A241</f>
        <v>Z675</v>
      </c>
      <c r="D150" s="86">
        <f>Master!B241</f>
        <v>0</v>
      </c>
      <c r="E150" s="23"/>
      <c r="F150" s="33">
        <v>11</v>
      </c>
      <c r="G150" s="34" t="str">
        <f>Master!A257</f>
        <v>Z691</v>
      </c>
      <c r="H150" s="86">
        <f>Master!B257</f>
        <v>0</v>
      </c>
    </row>
    <row r="151" spans="1:8" x14ac:dyDescent="0.2">
      <c r="A151" s="23"/>
      <c r="B151" s="30">
        <v>12</v>
      </c>
      <c r="C151" s="31" t="str">
        <f>Master!A242</f>
        <v>Z676</v>
      </c>
      <c r="D151" s="87">
        <f>Master!B242</f>
        <v>0</v>
      </c>
      <c r="E151" s="23"/>
      <c r="F151" s="30">
        <v>12</v>
      </c>
      <c r="G151" s="31" t="str">
        <f>Master!A258</f>
        <v>Z692</v>
      </c>
      <c r="H151" s="87">
        <f>Master!B258</f>
        <v>0</v>
      </c>
    </row>
    <row r="152" spans="1:8" x14ac:dyDescent="0.2">
      <c r="A152" s="23"/>
      <c r="B152" s="33">
        <v>13</v>
      </c>
      <c r="C152" s="34" t="str">
        <f>Master!A243</f>
        <v>Z677</v>
      </c>
      <c r="D152" s="86">
        <f>Master!B243</f>
        <v>0</v>
      </c>
      <c r="E152" s="23"/>
      <c r="F152" s="33">
        <v>13</v>
      </c>
      <c r="G152" s="34" t="str">
        <f>Master!A259</f>
        <v>Z693</v>
      </c>
      <c r="H152" s="86">
        <f>Master!B259</f>
        <v>0</v>
      </c>
    </row>
    <row r="153" spans="1:8" x14ac:dyDescent="0.2">
      <c r="A153" s="23"/>
      <c r="B153" s="30">
        <v>14</v>
      </c>
      <c r="C153" s="31" t="str">
        <f>Master!A244</f>
        <v>Z678</v>
      </c>
      <c r="D153" s="87">
        <f>Master!B244</f>
        <v>0</v>
      </c>
      <c r="E153" s="23"/>
      <c r="F153" s="30">
        <v>14</v>
      </c>
      <c r="G153" s="31" t="str">
        <f>Master!A260</f>
        <v>Z694</v>
      </c>
      <c r="H153" s="87">
        <f>Master!B260</f>
        <v>0</v>
      </c>
    </row>
    <row r="154" spans="1:8" x14ac:dyDescent="0.2">
      <c r="A154" s="23"/>
      <c r="B154" s="33">
        <v>15</v>
      </c>
      <c r="C154" s="34" t="str">
        <f>Master!A245</f>
        <v>Z679</v>
      </c>
      <c r="D154" s="86" t="str">
        <f>Master!B245</f>
        <v>PS-11: A/C LOSS</v>
      </c>
      <c r="E154" s="23"/>
      <c r="F154" s="33">
        <v>15</v>
      </c>
      <c r="G154" s="34" t="str">
        <f>Master!A261</f>
        <v>Z695</v>
      </c>
      <c r="H154" s="86" t="str">
        <f>Master!B261</f>
        <v>PS-12: A/C LOSS</v>
      </c>
    </row>
    <row r="155" spans="1:8" ht="16" customHeight="1" thickBot="1" x14ac:dyDescent="0.25">
      <c r="A155" s="23"/>
      <c r="B155" s="35">
        <v>16</v>
      </c>
      <c r="C155" s="36" t="str">
        <f>Master!A246</f>
        <v>Z680</v>
      </c>
      <c r="D155" s="88" t="str">
        <f>Master!B246</f>
        <v>PS-11: BATT. TRBL.</v>
      </c>
      <c r="E155" s="23"/>
      <c r="F155" s="35">
        <v>16</v>
      </c>
      <c r="G155" s="36" t="str">
        <f>Master!A262</f>
        <v>Z696</v>
      </c>
      <c r="H155" s="88" t="str">
        <f>Master!B262</f>
        <v>PS-12: BATT. TRBL.</v>
      </c>
    </row>
    <row r="157" spans="1:8" ht="16" customHeight="1" thickBot="1" x14ac:dyDescent="0.25"/>
    <row r="158" spans="1:8" ht="19" customHeight="1" x14ac:dyDescent="0.2">
      <c r="A158" s="23"/>
      <c r="B158" s="130" t="str">
        <f>Header!B3</f>
        <v>[SCHOOL NAME]</v>
      </c>
      <c r="C158" s="119"/>
      <c r="D158" s="131"/>
      <c r="E158" s="23"/>
      <c r="F158" s="130" t="str">
        <f>Header!B3</f>
        <v>[SCHOOL NAME]</v>
      </c>
      <c r="G158" s="119"/>
      <c r="H158" s="131"/>
    </row>
    <row r="159" spans="1:8" ht="19" customHeight="1" x14ac:dyDescent="0.2">
      <c r="A159" s="23"/>
      <c r="B159" s="125" t="str">
        <f>Header!B4</f>
        <v>[ADDRESS]</v>
      </c>
      <c r="C159" s="93"/>
      <c r="D159" s="126"/>
      <c r="E159" s="23"/>
      <c r="F159" s="125" t="str">
        <f>Header!B4</f>
        <v>[ADDRESS]</v>
      </c>
      <c r="G159" s="93"/>
      <c r="H159" s="126"/>
    </row>
    <row r="160" spans="1:8" ht="19" customHeight="1" x14ac:dyDescent="0.2">
      <c r="A160" s="23"/>
      <c r="B160" s="125" t="str">
        <f>Header!B5</f>
        <v>[CITY, STATE ZIP]</v>
      </c>
      <c r="C160" s="93"/>
      <c r="D160" s="126"/>
      <c r="E160" s="23"/>
      <c r="F160" s="125" t="str">
        <f>Header!B5</f>
        <v>[CITY, STATE ZIP]</v>
      </c>
      <c r="G160" s="93"/>
      <c r="H160" s="126"/>
    </row>
    <row r="161" spans="1:8" x14ac:dyDescent="0.2">
      <c r="A161" s="23"/>
      <c r="B161" s="24"/>
      <c r="C161" s="25"/>
      <c r="D161" s="84"/>
      <c r="E161" s="23"/>
      <c r="F161" s="24"/>
      <c r="G161" s="25"/>
      <c r="H161" s="26"/>
    </row>
    <row r="162" spans="1:8" ht="17" customHeight="1" thickBot="1" x14ac:dyDescent="0.25">
      <c r="A162" s="23"/>
      <c r="B162" s="132"/>
      <c r="C162" s="104"/>
      <c r="D162" s="133"/>
      <c r="E162" s="23"/>
      <c r="F162" s="132"/>
      <c r="G162" s="104"/>
      <c r="H162" s="133"/>
    </row>
    <row r="163" spans="1:8" ht="17" customHeight="1" thickBot="1" x14ac:dyDescent="0.25">
      <c r="A163" s="23"/>
      <c r="B163" s="127">
        <f>Master!C386</f>
        <v>0</v>
      </c>
      <c r="C163" s="128"/>
      <c r="D163" s="129"/>
      <c r="E163" s="23"/>
      <c r="F163" s="127">
        <f>Master!C402</f>
        <v>0</v>
      </c>
      <c r="G163" s="128"/>
      <c r="H163" s="129"/>
    </row>
    <row r="164" spans="1:8" ht="17" customHeight="1" thickBot="1" x14ac:dyDescent="0.25">
      <c r="A164" s="23"/>
      <c r="B164" s="27" t="s">
        <v>0</v>
      </c>
      <c r="C164" s="28" t="s">
        <v>1</v>
      </c>
      <c r="D164" s="29" t="s">
        <v>2</v>
      </c>
      <c r="E164" s="23"/>
      <c r="F164" s="27" t="s">
        <v>0</v>
      </c>
      <c r="G164" s="28" t="s">
        <v>1</v>
      </c>
      <c r="H164" s="29" t="s">
        <v>2</v>
      </c>
    </row>
    <row r="165" spans="1:8" ht="16" customHeight="1" x14ac:dyDescent="0.2">
      <c r="A165" s="23"/>
      <c r="B165" s="30" t="s">
        <v>3</v>
      </c>
      <c r="C165" s="31" t="s">
        <v>4</v>
      </c>
      <c r="D165" s="32" t="s">
        <v>5</v>
      </c>
      <c r="E165" s="23"/>
      <c r="F165" s="30" t="s">
        <v>3</v>
      </c>
      <c r="G165" s="31" t="s">
        <v>4</v>
      </c>
      <c r="H165" s="32" t="s">
        <v>5</v>
      </c>
    </row>
    <row r="166" spans="1:8" x14ac:dyDescent="0.2">
      <c r="A166" s="23"/>
      <c r="B166" s="33">
        <v>1</v>
      </c>
      <c r="C166" s="34" t="str">
        <f>Master!A267</f>
        <v>Z701</v>
      </c>
      <c r="D166" s="86">
        <f>Master!B267</f>
        <v>0</v>
      </c>
      <c r="E166" s="23"/>
      <c r="F166" s="33">
        <v>1</v>
      </c>
      <c r="G166" s="34" t="str">
        <f>Master!A283</f>
        <v>Z717</v>
      </c>
      <c r="H166" s="86">
        <f>Master!B283</f>
        <v>0</v>
      </c>
    </row>
    <row r="167" spans="1:8" x14ac:dyDescent="0.2">
      <c r="A167" s="23"/>
      <c r="B167" s="30">
        <v>2</v>
      </c>
      <c r="C167" s="31" t="str">
        <f>Master!A268</f>
        <v>Z702</v>
      </c>
      <c r="D167" s="87">
        <f>Master!B268</f>
        <v>0</v>
      </c>
      <c r="E167" s="23"/>
      <c r="F167" s="30">
        <v>2</v>
      </c>
      <c r="G167" s="31" t="str">
        <f>Master!A284</f>
        <v>Z718</v>
      </c>
      <c r="H167" s="87">
        <f>Master!B284</f>
        <v>0</v>
      </c>
    </row>
    <row r="168" spans="1:8" x14ac:dyDescent="0.2">
      <c r="A168" s="23"/>
      <c r="B168" s="33">
        <v>3</v>
      </c>
      <c r="C168" s="34" t="str">
        <f>Master!A269</f>
        <v>Z703</v>
      </c>
      <c r="D168" s="86">
        <f>Master!B269</f>
        <v>0</v>
      </c>
      <c r="E168" s="23"/>
      <c r="F168" s="33">
        <v>3</v>
      </c>
      <c r="G168" s="34" t="str">
        <f>Master!A285</f>
        <v>Z719</v>
      </c>
      <c r="H168" s="86">
        <f>Master!B285</f>
        <v>0</v>
      </c>
    </row>
    <row r="169" spans="1:8" x14ac:dyDescent="0.2">
      <c r="A169" s="23"/>
      <c r="B169" s="30">
        <v>4</v>
      </c>
      <c r="C169" s="31" t="str">
        <f>Master!A270</f>
        <v>Z704</v>
      </c>
      <c r="D169" s="87">
        <f>Master!B270</f>
        <v>0</v>
      </c>
      <c r="E169" s="23"/>
      <c r="F169" s="30">
        <v>4</v>
      </c>
      <c r="G169" s="31" t="str">
        <f>Master!A286</f>
        <v>Z720</v>
      </c>
      <c r="H169" s="87">
        <f>Master!B286</f>
        <v>0</v>
      </c>
    </row>
    <row r="170" spans="1:8" x14ac:dyDescent="0.2">
      <c r="A170" s="23"/>
      <c r="B170" s="33">
        <v>5</v>
      </c>
      <c r="C170" s="34" t="str">
        <f>Master!A271</f>
        <v>Z705</v>
      </c>
      <c r="D170" s="86">
        <f>Master!B271</f>
        <v>0</v>
      </c>
      <c r="E170" s="23"/>
      <c r="F170" s="33">
        <v>5</v>
      </c>
      <c r="G170" s="34" t="str">
        <f>Master!A287</f>
        <v>Z721</v>
      </c>
      <c r="H170" s="86">
        <f>Master!B287</f>
        <v>0</v>
      </c>
    </row>
    <row r="171" spans="1:8" x14ac:dyDescent="0.2">
      <c r="A171" s="23"/>
      <c r="B171" s="30">
        <v>6</v>
      </c>
      <c r="C171" s="31" t="str">
        <f>Master!A272</f>
        <v>Z706</v>
      </c>
      <c r="D171" s="87">
        <f>Master!B272</f>
        <v>0</v>
      </c>
      <c r="E171" s="23"/>
      <c r="F171" s="30">
        <v>6</v>
      </c>
      <c r="G171" s="31" t="str">
        <f>Master!A288</f>
        <v>Z722</v>
      </c>
      <c r="H171" s="87">
        <f>Master!B288</f>
        <v>0</v>
      </c>
    </row>
    <row r="172" spans="1:8" x14ac:dyDescent="0.2">
      <c r="A172" s="23"/>
      <c r="B172" s="33">
        <v>7</v>
      </c>
      <c r="C172" s="34" t="str">
        <f>Master!A273</f>
        <v>Z707</v>
      </c>
      <c r="D172" s="86">
        <f>Master!B273</f>
        <v>0</v>
      </c>
      <c r="E172" s="23"/>
      <c r="F172" s="33">
        <v>7</v>
      </c>
      <c r="G172" s="34" t="str">
        <f>Master!A289</f>
        <v>Z723</v>
      </c>
      <c r="H172" s="86">
        <f>Master!B289</f>
        <v>0</v>
      </c>
    </row>
    <row r="173" spans="1:8" x14ac:dyDescent="0.2">
      <c r="A173" s="23"/>
      <c r="B173" s="30">
        <v>8</v>
      </c>
      <c r="C173" s="31" t="str">
        <f>Master!A274</f>
        <v>Z708</v>
      </c>
      <c r="D173" s="87">
        <f>Master!B274</f>
        <v>0</v>
      </c>
      <c r="E173" s="23"/>
      <c r="F173" s="30">
        <v>8</v>
      </c>
      <c r="G173" s="31" t="str">
        <f>Master!A290</f>
        <v>Z724</v>
      </c>
      <c r="H173" s="87">
        <f>Master!B290</f>
        <v>0</v>
      </c>
    </row>
    <row r="174" spans="1:8" x14ac:dyDescent="0.2">
      <c r="A174" s="23"/>
      <c r="B174" s="33">
        <v>9</v>
      </c>
      <c r="C174" s="34" t="str">
        <f>Master!A275</f>
        <v>Z709</v>
      </c>
      <c r="D174" s="86">
        <f>Master!B275</f>
        <v>0</v>
      </c>
      <c r="E174" s="23"/>
      <c r="F174" s="33">
        <v>9</v>
      </c>
      <c r="G174" s="34" t="str">
        <f>Master!A291</f>
        <v>Z725</v>
      </c>
      <c r="H174" s="86">
        <f>Master!B291</f>
        <v>0</v>
      </c>
    </row>
    <row r="175" spans="1:8" x14ac:dyDescent="0.2">
      <c r="A175" s="23"/>
      <c r="B175" s="30">
        <v>10</v>
      </c>
      <c r="C175" s="31" t="str">
        <f>Master!A276</f>
        <v>Z710</v>
      </c>
      <c r="D175" s="87">
        <f>Master!B276</f>
        <v>0</v>
      </c>
      <c r="E175" s="23"/>
      <c r="F175" s="30">
        <v>10</v>
      </c>
      <c r="G175" s="31" t="str">
        <f>Master!A292</f>
        <v>Z726</v>
      </c>
      <c r="H175" s="87">
        <f>Master!B292</f>
        <v>0</v>
      </c>
    </row>
    <row r="176" spans="1:8" x14ac:dyDescent="0.2">
      <c r="A176" s="23"/>
      <c r="B176" s="33">
        <v>11</v>
      </c>
      <c r="C176" s="34" t="str">
        <f>Master!A277</f>
        <v>Z711</v>
      </c>
      <c r="D176" s="86">
        <f>Master!B277</f>
        <v>0</v>
      </c>
      <c r="E176" s="23"/>
      <c r="F176" s="33">
        <v>11</v>
      </c>
      <c r="G176" s="34" t="str">
        <f>Master!A293</f>
        <v>Z727</v>
      </c>
      <c r="H176" s="86">
        <f>Master!B293</f>
        <v>0</v>
      </c>
    </row>
    <row r="177" spans="1:8" x14ac:dyDescent="0.2">
      <c r="A177" s="23"/>
      <c r="B177" s="30">
        <v>12</v>
      </c>
      <c r="C177" s="31" t="str">
        <f>Master!A278</f>
        <v>Z712</v>
      </c>
      <c r="D177" s="87">
        <f>Master!B278</f>
        <v>0</v>
      </c>
      <c r="E177" s="23"/>
      <c r="F177" s="30">
        <v>12</v>
      </c>
      <c r="G177" s="31" t="str">
        <f>Master!A294</f>
        <v>Z728</v>
      </c>
      <c r="H177" s="87">
        <f>Master!B294</f>
        <v>0</v>
      </c>
    </row>
    <row r="178" spans="1:8" x14ac:dyDescent="0.2">
      <c r="A178" s="23"/>
      <c r="B178" s="33">
        <v>13</v>
      </c>
      <c r="C178" s="34" t="str">
        <f>Master!A279</f>
        <v>Z713</v>
      </c>
      <c r="D178" s="86">
        <f>Master!B279</f>
        <v>0</v>
      </c>
      <c r="E178" s="23"/>
      <c r="F178" s="33">
        <v>13</v>
      </c>
      <c r="G178" s="34" t="str">
        <f>Master!A295</f>
        <v>Z729</v>
      </c>
      <c r="H178" s="86">
        <f>Master!B295</f>
        <v>0</v>
      </c>
    </row>
    <row r="179" spans="1:8" x14ac:dyDescent="0.2">
      <c r="A179" s="23"/>
      <c r="B179" s="30">
        <v>14</v>
      </c>
      <c r="C179" s="31" t="str">
        <f>Master!A280</f>
        <v>Z714</v>
      </c>
      <c r="D179" s="87">
        <f>Master!B280</f>
        <v>0</v>
      </c>
      <c r="E179" s="23"/>
      <c r="F179" s="30">
        <v>14</v>
      </c>
      <c r="G179" s="31" t="str">
        <f>Master!A296</f>
        <v>Z730</v>
      </c>
      <c r="H179" s="87">
        <f>Master!B296</f>
        <v>0</v>
      </c>
    </row>
    <row r="180" spans="1:8" x14ac:dyDescent="0.2">
      <c r="A180" s="23"/>
      <c r="B180" s="33">
        <v>15</v>
      </c>
      <c r="C180" s="34" t="str">
        <f>Master!A281</f>
        <v>Z715</v>
      </c>
      <c r="D180" s="86" t="str">
        <f>Master!B281</f>
        <v>PS-13: A/C LOSS</v>
      </c>
      <c r="E180" s="23"/>
      <c r="F180" s="33">
        <v>15</v>
      </c>
      <c r="G180" s="34" t="str">
        <f>Master!A297</f>
        <v>Z731</v>
      </c>
      <c r="H180" s="86" t="str">
        <f>Master!B297</f>
        <v>PS-14: A/C LOSS</v>
      </c>
    </row>
    <row r="181" spans="1:8" ht="16" customHeight="1" thickBot="1" x14ac:dyDescent="0.25">
      <c r="A181" s="23"/>
      <c r="B181" s="35">
        <v>16</v>
      </c>
      <c r="C181" s="36" t="str">
        <f>Master!A282</f>
        <v>Z716</v>
      </c>
      <c r="D181" s="88" t="str">
        <f>Master!B282</f>
        <v>PS-13: BATT. TRBL.</v>
      </c>
      <c r="E181" s="23"/>
      <c r="F181" s="35">
        <v>16</v>
      </c>
      <c r="G181" s="36" t="str">
        <f>Master!A298</f>
        <v>Z732</v>
      </c>
      <c r="H181" s="88" t="str">
        <f>Master!B298</f>
        <v>PS-14: BATT. TRBL.</v>
      </c>
    </row>
    <row r="183" spans="1:8" ht="16" customHeight="1" thickBot="1" x14ac:dyDescent="0.25"/>
    <row r="184" spans="1:8" ht="19" customHeight="1" x14ac:dyDescent="0.2">
      <c r="A184" s="23"/>
      <c r="B184" s="130" t="str">
        <f>Header!B3</f>
        <v>[SCHOOL NAME]</v>
      </c>
      <c r="C184" s="119"/>
      <c r="D184" s="131"/>
      <c r="E184" s="23"/>
      <c r="F184" s="130" t="str">
        <f>Header!B3</f>
        <v>[SCHOOL NAME]</v>
      </c>
      <c r="G184" s="119"/>
      <c r="H184" s="131"/>
    </row>
    <row r="185" spans="1:8" ht="19" customHeight="1" x14ac:dyDescent="0.2">
      <c r="A185" s="23"/>
      <c r="B185" s="125" t="str">
        <f>Header!B4</f>
        <v>[ADDRESS]</v>
      </c>
      <c r="C185" s="93"/>
      <c r="D185" s="126"/>
      <c r="E185" s="23"/>
      <c r="F185" s="125" t="str">
        <f>Header!B4</f>
        <v>[ADDRESS]</v>
      </c>
      <c r="G185" s="93"/>
      <c r="H185" s="126"/>
    </row>
    <row r="186" spans="1:8" ht="19" customHeight="1" x14ac:dyDescent="0.2">
      <c r="A186" s="23"/>
      <c r="B186" s="125" t="str">
        <f>Header!B5</f>
        <v>[CITY, STATE ZIP]</v>
      </c>
      <c r="C186" s="93"/>
      <c r="D186" s="126"/>
      <c r="E186" s="23"/>
      <c r="F186" s="125" t="str">
        <f>Header!B5</f>
        <v>[CITY, STATE ZIP]</v>
      </c>
      <c r="G186" s="93"/>
      <c r="H186" s="126"/>
    </row>
    <row r="187" spans="1:8" x14ac:dyDescent="0.2">
      <c r="A187" s="23"/>
      <c r="B187" s="24"/>
      <c r="C187" s="25"/>
      <c r="D187" s="84"/>
      <c r="E187" s="23"/>
      <c r="F187" s="24"/>
      <c r="G187" s="25"/>
      <c r="H187" s="26"/>
    </row>
    <row r="188" spans="1:8" ht="17" customHeight="1" thickBot="1" x14ac:dyDescent="0.25">
      <c r="A188" s="23"/>
      <c r="B188" s="132"/>
      <c r="C188" s="104"/>
      <c r="D188" s="133"/>
      <c r="E188" s="23"/>
      <c r="F188" s="132"/>
      <c r="G188" s="104"/>
      <c r="H188" s="133"/>
    </row>
    <row r="189" spans="1:8" ht="17" customHeight="1" thickBot="1" x14ac:dyDescent="0.25">
      <c r="A189" s="23"/>
      <c r="B189" s="127">
        <f>Master!C418</f>
        <v>0</v>
      </c>
      <c r="C189" s="128"/>
      <c r="D189" s="129"/>
      <c r="E189" s="23"/>
      <c r="F189" s="127">
        <v>0</v>
      </c>
      <c r="G189" s="128"/>
      <c r="H189" s="129"/>
    </row>
    <row r="190" spans="1:8" ht="17" customHeight="1" thickBot="1" x14ac:dyDescent="0.25">
      <c r="A190" s="23"/>
      <c r="B190" s="27" t="s">
        <v>0</v>
      </c>
      <c r="C190" s="28" t="s">
        <v>1</v>
      </c>
      <c r="D190" s="29" t="s">
        <v>2</v>
      </c>
      <c r="E190" s="23"/>
      <c r="F190" s="27" t="s">
        <v>0</v>
      </c>
      <c r="G190" s="28" t="s">
        <v>1</v>
      </c>
      <c r="H190" s="29" t="s">
        <v>2</v>
      </c>
    </row>
    <row r="191" spans="1:8" ht="16" customHeight="1" x14ac:dyDescent="0.2">
      <c r="A191" s="23"/>
      <c r="B191" s="30" t="s">
        <v>3</v>
      </c>
      <c r="C191" s="31" t="s">
        <v>4</v>
      </c>
      <c r="D191" s="32" t="s">
        <v>5</v>
      </c>
      <c r="E191" s="23"/>
      <c r="F191" s="30" t="s">
        <v>3</v>
      </c>
      <c r="G191" s="31" t="s">
        <v>4</v>
      </c>
      <c r="H191" s="32" t="s">
        <v>5</v>
      </c>
    </row>
    <row r="192" spans="1:8" x14ac:dyDescent="0.2">
      <c r="A192" s="23"/>
      <c r="B192" s="33">
        <v>1</v>
      </c>
      <c r="C192" s="34" t="str">
        <f>Master!A299</f>
        <v>Z733</v>
      </c>
      <c r="D192" s="86">
        <f>Master!B299</f>
        <v>0</v>
      </c>
      <c r="E192" s="23"/>
      <c r="F192" s="33">
        <v>1</v>
      </c>
      <c r="G192" s="34" t="str">
        <f>Master!A315</f>
        <v>Z749</v>
      </c>
      <c r="H192" s="86">
        <f>Master!B315</f>
        <v>0</v>
      </c>
    </row>
    <row r="193" spans="1:8" x14ac:dyDescent="0.2">
      <c r="A193" s="23"/>
      <c r="B193" s="30">
        <v>2</v>
      </c>
      <c r="C193" s="31" t="str">
        <f>Master!A300</f>
        <v>Z734</v>
      </c>
      <c r="D193" s="87">
        <f>Master!B300</f>
        <v>0</v>
      </c>
      <c r="E193" s="23"/>
      <c r="F193" s="30">
        <v>2</v>
      </c>
      <c r="G193" s="31" t="str">
        <f>Master!A316</f>
        <v>Z750</v>
      </c>
      <c r="H193" s="87">
        <f>Master!B316</f>
        <v>0</v>
      </c>
    </row>
    <row r="194" spans="1:8" x14ac:dyDescent="0.2">
      <c r="A194" s="23"/>
      <c r="B194" s="33">
        <v>3</v>
      </c>
      <c r="C194" s="34" t="str">
        <f>Master!A301</f>
        <v>Z735</v>
      </c>
      <c r="D194" s="86">
        <f>Master!B301</f>
        <v>0</v>
      </c>
      <c r="E194" s="23"/>
      <c r="F194" s="33">
        <v>3</v>
      </c>
      <c r="G194" s="34" t="str">
        <f>Master!A317</f>
        <v>Z751</v>
      </c>
      <c r="H194" s="86">
        <f>Master!B317</f>
        <v>0</v>
      </c>
    </row>
    <row r="195" spans="1:8" x14ac:dyDescent="0.2">
      <c r="A195" s="23"/>
      <c r="B195" s="30">
        <v>4</v>
      </c>
      <c r="C195" s="31" t="str">
        <f>Master!A302</f>
        <v>Z736</v>
      </c>
      <c r="D195" s="87">
        <f>Master!B302</f>
        <v>0</v>
      </c>
      <c r="E195" s="23"/>
      <c r="F195" s="30">
        <v>4</v>
      </c>
      <c r="G195" s="31" t="str">
        <f>Master!A318</f>
        <v>Z752</v>
      </c>
      <c r="H195" s="87">
        <f>Master!B318</f>
        <v>0</v>
      </c>
    </row>
    <row r="196" spans="1:8" x14ac:dyDescent="0.2">
      <c r="A196" s="23"/>
      <c r="B196" s="33">
        <v>5</v>
      </c>
      <c r="C196" s="34" t="str">
        <f>Master!A303</f>
        <v>Z737</v>
      </c>
      <c r="D196" s="86">
        <f>Master!B303</f>
        <v>0</v>
      </c>
      <c r="E196" s="23"/>
      <c r="F196" s="33">
        <v>5</v>
      </c>
      <c r="G196" s="34" t="str">
        <f>Master!A319</f>
        <v>Z753</v>
      </c>
      <c r="H196" s="86">
        <f>Master!B319</f>
        <v>0</v>
      </c>
    </row>
    <row r="197" spans="1:8" x14ac:dyDescent="0.2">
      <c r="A197" s="23"/>
      <c r="B197" s="30">
        <v>6</v>
      </c>
      <c r="C197" s="31" t="str">
        <f>Master!A304</f>
        <v>Z738</v>
      </c>
      <c r="D197" s="87">
        <f>Master!B304</f>
        <v>0</v>
      </c>
      <c r="E197" s="23"/>
      <c r="F197" s="30">
        <v>6</v>
      </c>
      <c r="G197" s="31" t="str">
        <f>Master!A320</f>
        <v>Z754</v>
      </c>
      <c r="H197" s="87">
        <f>Master!B320</f>
        <v>0</v>
      </c>
    </row>
    <row r="198" spans="1:8" x14ac:dyDescent="0.2">
      <c r="A198" s="23"/>
      <c r="B198" s="33">
        <v>7</v>
      </c>
      <c r="C198" s="34" t="str">
        <f>Master!A305</f>
        <v>Z739</v>
      </c>
      <c r="D198" s="86">
        <f>Master!B305</f>
        <v>0</v>
      </c>
      <c r="E198" s="23"/>
      <c r="F198" s="33">
        <v>7</v>
      </c>
      <c r="G198" s="34" t="str">
        <f>Master!A321</f>
        <v>Z755</v>
      </c>
      <c r="H198" s="86">
        <f>Master!B321</f>
        <v>0</v>
      </c>
    </row>
    <row r="199" spans="1:8" x14ac:dyDescent="0.2">
      <c r="A199" s="23"/>
      <c r="B199" s="30">
        <v>8</v>
      </c>
      <c r="C199" s="31" t="str">
        <f>Master!A306</f>
        <v>Z740</v>
      </c>
      <c r="D199" s="87">
        <f>Master!B306</f>
        <v>0</v>
      </c>
      <c r="E199" s="23"/>
      <c r="F199" s="30">
        <v>8</v>
      </c>
      <c r="G199" s="31" t="str">
        <f>Master!A322</f>
        <v>Z756</v>
      </c>
      <c r="H199" s="87">
        <f>Master!B322</f>
        <v>0</v>
      </c>
    </row>
    <row r="200" spans="1:8" x14ac:dyDescent="0.2">
      <c r="A200" s="23"/>
      <c r="B200" s="33">
        <v>9</v>
      </c>
      <c r="C200" s="34" t="str">
        <f>Master!A307</f>
        <v>Z741</v>
      </c>
      <c r="D200" s="86">
        <f>Master!B307</f>
        <v>0</v>
      </c>
      <c r="E200" s="23"/>
      <c r="F200" s="33">
        <v>9</v>
      </c>
      <c r="G200" s="34" t="str">
        <f>Master!A323</f>
        <v>Z757</v>
      </c>
      <c r="H200" s="86">
        <f>Master!B323</f>
        <v>0</v>
      </c>
    </row>
    <row r="201" spans="1:8" x14ac:dyDescent="0.2">
      <c r="A201" s="23"/>
      <c r="B201" s="30">
        <v>10</v>
      </c>
      <c r="C201" s="31" t="str">
        <f>Master!A308</f>
        <v>Z742</v>
      </c>
      <c r="D201" s="87">
        <f>Master!B308</f>
        <v>0</v>
      </c>
      <c r="E201" s="23"/>
      <c r="F201" s="30">
        <v>10</v>
      </c>
      <c r="G201" s="31" t="str">
        <f>Master!A324</f>
        <v>Z758</v>
      </c>
      <c r="H201" s="87">
        <f>Master!B324</f>
        <v>0</v>
      </c>
    </row>
    <row r="202" spans="1:8" x14ac:dyDescent="0.2">
      <c r="A202" s="23"/>
      <c r="B202" s="33">
        <v>11</v>
      </c>
      <c r="C202" s="34" t="str">
        <f>Master!A309</f>
        <v>Z743</v>
      </c>
      <c r="D202" s="86">
        <f>Master!B309</f>
        <v>0</v>
      </c>
      <c r="E202" s="23"/>
      <c r="F202" s="33">
        <v>11</v>
      </c>
      <c r="G202" s="34" t="str">
        <f>Master!A325</f>
        <v>Z759</v>
      </c>
      <c r="H202" s="86">
        <f>Master!B325</f>
        <v>0</v>
      </c>
    </row>
    <row r="203" spans="1:8" x14ac:dyDescent="0.2">
      <c r="A203" s="23"/>
      <c r="B203" s="30">
        <v>12</v>
      </c>
      <c r="C203" s="31" t="str">
        <f>Master!A310</f>
        <v>Z744</v>
      </c>
      <c r="D203" s="87">
        <f>Master!B310</f>
        <v>0</v>
      </c>
      <c r="E203" s="23"/>
      <c r="F203" s="30">
        <v>12</v>
      </c>
      <c r="G203" s="31" t="str">
        <f>Master!A326</f>
        <v>Z760</v>
      </c>
      <c r="H203" s="87">
        <f>Master!B326</f>
        <v>0</v>
      </c>
    </row>
    <row r="204" spans="1:8" x14ac:dyDescent="0.2">
      <c r="A204" s="23"/>
      <c r="B204" s="33">
        <v>13</v>
      </c>
      <c r="C204" s="34" t="str">
        <f>Master!A311</f>
        <v>Z745</v>
      </c>
      <c r="D204" s="86">
        <f>Master!B311</f>
        <v>0</v>
      </c>
      <c r="E204" s="23"/>
      <c r="F204" s="33">
        <v>13</v>
      </c>
      <c r="G204" s="34" t="str">
        <f>Master!A327</f>
        <v>Z761</v>
      </c>
      <c r="H204" s="86">
        <f>Master!B327</f>
        <v>0</v>
      </c>
    </row>
    <row r="205" spans="1:8" x14ac:dyDescent="0.2">
      <c r="A205" s="23"/>
      <c r="B205" s="30">
        <v>14</v>
      </c>
      <c r="C205" s="31" t="str">
        <f>Master!A312</f>
        <v>Z746</v>
      </c>
      <c r="D205" s="87">
        <f>Master!B312</f>
        <v>0</v>
      </c>
      <c r="E205" s="23"/>
      <c r="F205" s="30">
        <v>14</v>
      </c>
      <c r="G205" s="31" t="str">
        <f>Master!A328</f>
        <v>Z762</v>
      </c>
      <c r="H205" s="87">
        <f>Master!B328</f>
        <v>0</v>
      </c>
    </row>
    <row r="206" spans="1:8" x14ac:dyDescent="0.2">
      <c r="A206" s="23"/>
      <c r="B206" s="33">
        <v>15</v>
      </c>
      <c r="C206" s="34" t="str">
        <f>Master!A313</f>
        <v>Z747</v>
      </c>
      <c r="D206" s="86" t="str">
        <f>Master!B313</f>
        <v>PS-15: A/C LOSS</v>
      </c>
      <c r="E206" s="23"/>
      <c r="F206" s="33">
        <v>15</v>
      </c>
      <c r="G206" s="34" t="str">
        <f>Master!A329</f>
        <v>Z763</v>
      </c>
      <c r="H206" s="86" t="str">
        <f>Master!B329</f>
        <v>PS-16: A/C LOSS</v>
      </c>
    </row>
    <row r="207" spans="1:8" ht="16" customHeight="1" thickBot="1" x14ac:dyDescent="0.25">
      <c r="A207" s="23"/>
      <c r="B207" s="35">
        <v>16</v>
      </c>
      <c r="C207" s="36" t="str">
        <f>Master!A314</f>
        <v>Z748</v>
      </c>
      <c r="D207" s="88" t="str">
        <f>Master!B314</f>
        <v>PS-15: BATT. TRBL.</v>
      </c>
      <c r="E207" s="23"/>
      <c r="F207" s="35">
        <v>16</v>
      </c>
      <c r="G207" s="36" t="str">
        <f>Master!A330</f>
        <v>Z764</v>
      </c>
      <c r="H207" s="88" t="str">
        <f>Master!B330</f>
        <v>PS-16: BATT. TRBL.</v>
      </c>
    </row>
    <row r="209" spans="1:8" ht="16" customHeight="1" thickBot="1" x14ac:dyDescent="0.25"/>
    <row r="210" spans="1:8" ht="19" customHeight="1" x14ac:dyDescent="0.2">
      <c r="A210" s="23"/>
      <c r="B210" s="130" t="str">
        <f>Header!B3</f>
        <v>[SCHOOL NAME]</v>
      </c>
      <c r="C210" s="119"/>
      <c r="D210" s="131"/>
      <c r="E210" s="23"/>
      <c r="F210" s="130" t="str">
        <f>Header!B3</f>
        <v>[SCHOOL NAME]</v>
      </c>
      <c r="G210" s="119"/>
      <c r="H210" s="131"/>
    </row>
    <row r="211" spans="1:8" ht="19" customHeight="1" x14ac:dyDescent="0.2">
      <c r="A211" s="23"/>
      <c r="B211" s="125" t="str">
        <f>Header!B4</f>
        <v>[ADDRESS]</v>
      </c>
      <c r="C211" s="93"/>
      <c r="D211" s="126"/>
      <c r="E211" s="23"/>
      <c r="F211" s="125" t="str">
        <f>Header!B4</f>
        <v>[ADDRESS]</v>
      </c>
      <c r="G211" s="93"/>
      <c r="H211" s="126"/>
    </row>
    <row r="212" spans="1:8" ht="19" customHeight="1" x14ac:dyDescent="0.2">
      <c r="A212" s="23"/>
      <c r="B212" s="125" t="str">
        <f>Header!B5</f>
        <v>[CITY, STATE ZIP]</v>
      </c>
      <c r="C212" s="93"/>
      <c r="D212" s="126"/>
      <c r="E212" s="23"/>
      <c r="F212" s="125" t="str">
        <f>Header!B5</f>
        <v>[CITY, STATE ZIP]</v>
      </c>
      <c r="G212" s="93"/>
      <c r="H212" s="126"/>
    </row>
    <row r="213" spans="1:8" x14ac:dyDescent="0.2">
      <c r="A213" s="23"/>
      <c r="B213" s="24"/>
      <c r="C213" s="25"/>
      <c r="D213" s="84"/>
      <c r="E213" s="23"/>
      <c r="F213" s="24"/>
      <c r="G213" s="25"/>
      <c r="H213" s="26"/>
    </row>
    <row r="214" spans="1:8" ht="17" customHeight="1" thickBot="1" x14ac:dyDescent="0.25">
      <c r="A214" s="23"/>
      <c r="B214" s="132"/>
      <c r="C214" s="104"/>
      <c r="D214" s="133"/>
      <c r="E214" s="23"/>
      <c r="F214" s="132"/>
      <c r="G214" s="104"/>
      <c r="H214" s="133"/>
    </row>
    <row r="215" spans="1:8" ht="17" customHeight="1" thickBot="1" x14ac:dyDescent="0.25">
      <c r="A215" s="23"/>
      <c r="B215" s="127" t="s">
        <v>6</v>
      </c>
      <c r="C215" s="128"/>
      <c r="D215" s="129"/>
      <c r="E215" s="23"/>
      <c r="F215" s="127">
        <v>0</v>
      </c>
      <c r="G215" s="128"/>
      <c r="H215" s="129"/>
    </row>
    <row r="216" spans="1:8" ht="17" customHeight="1" thickBot="1" x14ac:dyDescent="0.25">
      <c r="A216" s="23"/>
      <c r="B216" s="27" t="s">
        <v>0</v>
      </c>
      <c r="C216" s="28" t="s">
        <v>1</v>
      </c>
      <c r="D216" s="29" t="s">
        <v>2</v>
      </c>
      <c r="E216" s="23"/>
      <c r="F216" s="27" t="s">
        <v>0</v>
      </c>
      <c r="G216" s="28" t="s">
        <v>1</v>
      </c>
      <c r="H216" s="29" t="s">
        <v>2</v>
      </c>
    </row>
    <row r="217" spans="1:8" ht="16" customHeight="1" x14ac:dyDescent="0.2">
      <c r="A217" s="23"/>
      <c r="B217" s="30" t="s">
        <v>3</v>
      </c>
      <c r="C217" s="31" t="s">
        <v>4</v>
      </c>
      <c r="D217" s="32" t="s">
        <v>5</v>
      </c>
      <c r="E217" s="23"/>
      <c r="F217" s="30" t="s">
        <v>3</v>
      </c>
      <c r="G217" s="31" t="s">
        <v>4</v>
      </c>
      <c r="H217" s="32" t="s">
        <v>5</v>
      </c>
    </row>
    <row r="218" spans="1:8" x14ac:dyDescent="0.2">
      <c r="A218" s="23"/>
      <c r="B218" s="33">
        <v>1</v>
      </c>
      <c r="C218" s="34" t="str">
        <f>Master!A331</f>
        <v>Z765</v>
      </c>
      <c r="D218" s="86">
        <f>Master!B331</f>
        <v>0</v>
      </c>
      <c r="E218" s="23"/>
      <c r="F218" s="33">
        <v>1</v>
      </c>
      <c r="G218" s="34" t="str">
        <f>Master!A347</f>
        <v>Z781</v>
      </c>
      <c r="H218" s="86">
        <f>Master!B347</f>
        <v>0</v>
      </c>
    </row>
    <row r="219" spans="1:8" x14ac:dyDescent="0.2">
      <c r="A219" s="23"/>
      <c r="B219" s="30">
        <v>2</v>
      </c>
      <c r="C219" s="31" t="str">
        <f>Master!A332</f>
        <v>Z766</v>
      </c>
      <c r="D219" s="87">
        <f>Master!B332</f>
        <v>0</v>
      </c>
      <c r="E219" s="23"/>
      <c r="F219" s="30">
        <v>2</v>
      </c>
      <c r="G219" s="31" t="str">
        <f>Master!A348</f>
        <v>Z782</v>
      </c>
      <c r="H219" s="87">
        <f>Master!B348</f>
        <v>0</v>
      </c>
    </row>
    <row r="220" spans="1:8" x14ac:dyDescent="0.2">
      <c r="A220" s="23"/>
      <c r="B220" s="33">
        <v>3</v>
      </c>
      <c r="C220" s="34" t="str">
        <f>Master!A333</f>
        <v>Z767</v>
      </c>
      <c r="D220" s="86">
        <f>Master!B333</f>
        <v>0</v>
      </c>
      <c r="E220" s="23"/>
      <c r="F220" s="33">
        <v>3</v>
      </c>
      <c r="G220" s="34" t="str">
        <f>Master!A349</f>
        <v>Z783</v>
      </c>
      <c r="H220" s="86">
        <f>Master!B349</f>
        <v>0</v>
      </c>
    </row>
    <row r="221" spans="1:8" x14ac:dyDescent="0.2">
      <c r="A221" s="23"/>
      <c r="B221" s="30">
        <v>4</v>
      </c>
      <c r="C221" s="31" t="str">
        <f>Master!A334</f>
        <v>Z768</v>
      </c>
      <c r="D221" s="87">
        <f>Master!B334</f>
        <v>0</v>
      </c>
      <c r="E221" s="23"/>
      <c r="F221" s="30">
        <v>4</v>
      </c>
      <c r="G221" s="31" t="str">
        <f>Master!A350</f>
        <v>Z784</v>
      </c>
      <c r="H221" s="87">
        <f>Master!B350</f>
        <v>0</v>
      </c>
    </row>
    <row r="222" spans="1:8" x14ac:dyDescent="0.2">
      <c r="A222" s="23"/>
      <c r="B222" s="33">
        <v>5</v>
      </c>
      <c r="C222" s="34" t="str">
        <f>Master!A335</f>
        <v>Z769</v>
      </c>
      <c r="D222" s="86">
        <f>Master!B335</f>
        <v>0</v>
      </c>
      <c r="E222" s="23"/>
      <c r="F222" s="33">
        <v>5</v>
      </c>
      <c r="G222" s="34" t="str">
        <f>Master!A351</f>
        <v>Z785</v>
      </c>
      <c r="H222" s="86">
        <f>Master!B351</f>
        <v>0</v>
      </c>
    </row>
    <row r="223" spans="1:8" x14ac:dyDescent="0.2">
      <c r="A223" s="23"/>
      <c r="B223" s="30">
        <v>6</v>
      </c>
      <c r="C223" s="31" t="str">
        <f>Master!A336</f>
        <v>Z770</v>
      </c>
      <c r="D223" s="87">
        <f>Master!B336</f>
        <v>0</v>
      </c>
      <c r="E223" s="23"/>
      <c r="F223" s="30">
        <v>6</v>
      </c>
      <c r="G223" s="31" t="str">
        <f>Master!A352</f>
        <v>Z786</v>
      </c>
      <c r="H223" s="87">
        <f>Master!B352</f>
        <v>0</v>
      </c>
    </row>
    <row r="224" spans="1:8" x14ac:dyDescent="0.2">
      <c r="A224" s="23"/>
      <c r="B224" s="33">
        <v>7</v>
      </c>
      <c r="C224" s="34" t="str">
        <f>Master!A337</f>
        <v>Z771</v>
      </c>
      <c r="D224" s="86">
        <f>Master!B337</f>
        <v>0</v>
      </c>
      <c r="E224" s="23"/>
      <c r="F224" s="33">
        <v>7</v>
      </c>
      <c r="G224" s="34" t="str">
        <f>Master!A353</f>
        <v>Z787</v>
      </c>
      <c r="H224" s="86">
        <f>Master!B353</f>
        <v>0</v>
      </c>
    </row>
    <row r="225" spans="1:8" x14ac:dyDescent="0.2">
      <c r="A225" s="23"/>
      <c r="B225" s="30">
        <v>8</v>
      </c>
      <c r="C225" s="31" t="str">
        <f>Master!A338</f>
        <v>Z772</v>
      </c>
      <c r="D225" s="87">
        <f>Master!B338</f>
        <v>0</v>
      </c>
      <c r="E225" s="23"/>
      <c r="F225" s="30">
        <v>8</v>
      </c>
      <c r="G225" s="31" t="str">
        <f>Master!A354</f>
        <v>Z788</v>
      </c>
      <c r="H225" s="87">
        <f>Master!B354</f>
        <v>0</v>
      </c>
    </row>
    <row r="226" spans="1:8" x14ac:dyDescent="0.2">
      <c r="A226" s="23"/>
      <c r="B226" s="33">
        <v>9</v>
      </c>
      <c r="C226" s="34" t="str">
        <f>Master!A339</f>
        <v>Z773</v>
      </c>
      <c r="D226" s="86">
        <f>Master!B339</f>
        <v>0</v>
      </c>
      <c r="E226" s="23"/>
      <c r="F226" s="33">
        <v>9</v>
      </c>
      <c r="G226" s="34" t="str">
        <f>Master!A355</f>
        <v>Z789</v>
      </c>
      <c r="H226" s="86">
        <f>Master!B355</f>
        <v>0</v>
      </c>
    </row>
    <row r="227" spans="1:8" x14ac:dyDescent="0.2">
      <c r="A227" s="23"/>
      <c r="B227" s="30">
        <v>10</v>
      </c>
      <c r="C227" s="31" t="str">
        <f>Master!A340</f>
        <v>Z774</v>
      </c>
      <c r="D227" s="87">
        <f>Master!B340</f>
        <v>0</v>
      </c>
      <c r="E227" s="23"/>
      <c r="F227" s="30">
        <v>10</v>
      </c>
      <c r="G227" s="31" t="str">
        <f>Master!A356</f>
        <v>Z790</v>
      </c>
      <c r="H227" s="87">
        <f>Master!B356</f>
        <v>0</v>
      </c>
    </row>
    <row r="228" spans="1:8" x14ac:dyDescent="0.2">
      <c r="A228" s="23"/>
      <c r="B228" s="33">
        <v>11</v>
      </c>
      <c r="C228" s="34" t="str">
        <f>Master!A341</f>
        <v>Z775</v>
      </c>
      <c r="D228" s="86">
        <f>Master!B341</f>
        <v>0</v>
      </c>
      <c r="E228" s="23"/>
      <c r="F228" s="33">
        <v>11</v>
      </c>
      <c r="G228" s="34" t="str">
        <f>Master!A357</f>
        <v>Z791</v>
      </c>
      <c r="H228" s="86">
        <f>Master!B357</f>
        <v>0</v>
      </c>
    </row>
    <row r="229" spans="1:8" x14ac:dyDescent="0.2">
      <c r="A229" s="23"/>
      <c r="B229" s="30">
        <v>12</v>
      </c>
      <c r="C229" s="31" t="str">
        <f>Master!A342</f>
        <v>Z776</v>
      </c>
      <c r="D229" s="87">
        <f>Master!B342</f>
        <v>0</v>
      </c>
      <c r="E229" s="23"/>
      <c r="F229" s="30">
        <v>12</v>
      </c>
      <c r="G229" s="31" t="str">
        <f>Master!A358</f>
        <v>Z792</v>
      </c>
      <c r="H229" s="87">
        <f>Master!B358</f>
        <v>0</v>
      </c>
    </row>
    <row r="230" spans="1:8" x14ac:dyDescent="0.2">
      <c r="A230" s="23"/>
      <c r="B230" s="33">
        <v>13</v>
      </c>
      <c r="C230" s="34" t="str">
        <f>Master!A343</f>
        <v>Z777</v>
      </c>
      <c r="D230" s="86">
        <f>Master!B343</f>
        <v>0</v>
      </c>
      <c r="E230" s="23"/>
      <c r="F230" s="33">
        <v>13</v>
      </c>
      <c r="G230" s="34" t="str">
        <f>Master!A359</f>
        <v>Z793</v>
      </c>
      <c r="H230" s="86">
        <f>Master!B359</f>
        <v>0</v>
      </c>
    </row>
    <row r="231" spans="1:8" x14ac:dyDescent="0.2">
      <c r="A231" s="23"/>
      <c r="B231" s="30">
        <v>14</v>
      </c>
      <c r="C231" s="31" t="str">
        <f>Master!A344</f>
        <v>Z778</v>
      </c>
      <c r="D231" s="87">
        <f>Master!B344</f>
        <v>0</v>
      </c>
      <c r="E231" s="23"/>
      <c r="F231" s="30">
        <v>14</v>
      </c>
      <c r="G231" s="31" t="str">
        <f>Master!A360</f>
        <v>Z794</v>
      </c>
      <c r="H231" s="87">
        <f>Master!B360</f>
        <v>0</v>
      </c>
    </row>
    <row r="232" spans="1:8" x14ac:dyDescent="0.2">
      <c r="A232" s="23"/>
      <c r="B232" s="33">
        <v>15</v>
      </c>
      <c r="C232" s="34" t="str">
        <f>Master!A345</f>
        <v>Z779</v>
      </c>
      <c r="D232" s="86" t="str">
        <f>Master!B345</f>
        <v>PS-17: A/C LOSS</v>
      </c>
      <c r="E232" s="23"/>
      <c r="F232" s="33">
        <v>15</v>
      </c>
      <c r="G232" s="34" t="str">
        <f>Master!A361</f>
        <v>Z795</v>
      </c>
      <c r="H232" s="86" t="str">
        <f>Master!B361</f>
        <v>PS-18: A/C LOSS</v>
      </c>
    </row>
    <row r="233" spans="1:8" ht="16" customHeight="1" thickBot="1" x14ac:dyDescent="0.25">
      <c r="A233" s="23"/>
      <c r="B233" s="35">
        <v>16</v>
      </c>
      <c r="C233" s="36" t="str">
        <f>Master!A346</f>
        <v>Z780</v>
      </c>
      <c r="D233" s="88" t="str">
        <f>Master!B346</f>
        <v>PS-17: BATT. TRBL.</v>
      </c>
      <c r="E233" s="23"/>
      <c r="F233" s="35">
        <v>16</v>
      </c>
      <c r="G233" s="36" t="str">
        <f>Master!A362</f>
        <v>Z796</v>
      </c>
      <c r="H233" s="88" t="str">
        <f>Master!B362</f>
        <v>PS-18: BATT. TRBL.</v>
      </c>
    </row>
    <row r="234" spans="1:8" ht="16" customHeight="1" thickBot="1" x14ac:dyDescent="0.25"/>
    <row r="235" spans="1:8" ht="19" customHeight="1" x14ac:dyDescent="0.2">
      <c r="B235" s="115" t="str">
        <f>Header!B3</f>
        <v>[SCHOOL NAME]</v>
      </c>
      <c r="C235" s="119"/>
      <c r="D235" s="116"/>
      <c r="F235" s="115" t="str">
        <f>Header!B3</f>
        <v>[SCHOOL NAME]</v>
      </c>
      <c r="G235" s="119"/>
      <c r="H235" s="116"/>
    </row>
    <row r="236" spans="1:8" ht="19" customHeight="1" x14ac:dyDescent="0.2">
      <c r="B236" s="120" t="str">
        <f>Header!B4</f>
        <v>[ADDRESS]</v>
      </c>
      <c r="C236" s="101"/>
      <c r="D236" s="121"/>
      <c r="F236" s="120" t="str">
        <f>Header!B4</f>
        <v>[ADDRESS]</v>
      </c>
      <c r="G236" s="101"/>
      <c r="H236" s="121"/>
    </row>
    <row r="237" spans="1:8" ht="19" x14ac:dyDescent="0.2">
      <c r="B237" s="120" t="str">
        <f>Header!B5</f>
        <v>[CITY, STATE ZIP]</v>
      </c>
      <c r="C237" s="101"/>
      <c r="D237" s="121"/>
      <c r="F237" s="120" t="str">
        <f>Header!B5</f>
        <v>[CITY, STATE ZIP]</v>
      </c>
      <c r="G237" s="101"/>
      <c r="H237" s="121"/>
    </row>
    <row r="238" spans="1:8" x14ac:dyDescent="0.2">
      <c r="B238" s="10"/>
      <c r="C238" s="11"/>
      <c r="D238" s="83"/>
      <c r="F238" s="10"/>
      <c r="G238" s="11"/>
      <c r="H238" s="6"/>
    </row>
    <row r="239" spans="1:8" ht="17" customHeight="1" thickBot="1" x14ac:dyDescent="0.25">
      <c r="B239" s="114"/>
      <c r="C239" s="104"/>
      <c r="D239" s="105"/>
      <c r="F239" s="114"/>
      <c r="G239" s="104"/>
      <c r="H239" s="105"/>
    </row>
    <row r="240" spans="1:8" ht="17" customHeight="1" thickBot="1" x14ac:dyDescent="0.25">
      <c r="B240" s="103">
        <f>Master!C300</f>
        <v>0</v>
      </c>
      <c r="C240" s="104"/>
      <c r="D240" s="105"/>
      <c r="F240" s="122">
        <f>Master!C316</f>
        <v>0</v>
      </c>
      <c r="G240" s="123"/>
      <c r="H240" s="124"/>
    </row>
    <row r="241" spans="2:8" ht="17" customHeight="1" thickBot="1" x14ac:dyDescent="0.25">
      <c r="B241" s="7" t="s">
        <v>0</v>
      </c>
      <c r="C241" s="7" t="s">
        <v>1</v>
      </c>
      <c r="D241" s="1" t="s">
        <v>2</v>
      </c>
      <c r="F241" s="7" t="s">
        <v>0</v>
      </c>
      <c r="G241" s="7" t="s">
        <v>1</v>
      </c>
      <c r="H241" s="1" t="s">
        <v>2</v>
      </c>
    </row>
    <row r="242" spans="2:8" ht="16" customHeight="1" x14ac:dyDescent="0.2">
      <c r="B242" s="5" t="s">
        <v>3</v>
      </c>
      <c r="C242" s="5" t="s">
        <v>4</v>
      </c>
      <c r="D242" s="12" t="s">
        <v>5</v>
      </c>
      <c r="F242" s="5" t="s">
        <v>3</v>
      </c>
      <c r="G242" s="5" t="s">
        <v>4</v>
      </c>
      <c r="H242" s="12" t="s">
        <v>5</v>
      </c>
    </row>
    <row r="243" spans="2:8" x14ac:dyDescent="0.2">
      <c r="B243" s="5">
        <v>1</v>
      </c>
      <c r="C243" s="5" t="str">
        <f>Master!A367</f>
        <v>Z801</v>
      </c>
      <c r="D243" s="85">
        <f>Master!B367</f>
        <v>0</v>
      </c>
      <c r="F243" s="5">
        <v>1</v>
      </c>
      <c r="G243" s="5" t="str">
        <f>Master!A383</f>
        <v>Z817</v>
      </c>
      <c r="H243" s="85">
        <f>Master!B383</f>
        <v>0</v>
      </c>
    </row>
    <row r="244" spans="2:8" x14ac:dyDescent="0.2">
      <c r="B244" s="5">
        <v>2</v>
      </c>
      <c r="C244" s="5" t="str">
        <f>Master!A368</f>
        <v>Z802</v>
      </c>
      <c r="D244" s="85">
        <f>Master!B368</f>
        <v>0</v>
      </c>
      <c r="F244" s="5">
        <v>2</v>
      </c>
      <c r="G244" s="5" t="str">
        <f>Master!A384</f>
        <v>Z818</v>
      </c>
      <c r="H244" s="85">
        <f>Master!B384</f>
        <v>0</v>
      </c>
    </row>
    <row r="245" spans="2:8" x14ac:dyDescent="0.2">
      <c r="B245" s="5">
        <v>3</v>
      </c>
      <c r="C245" s="5" t="str">
        <f>Master!A369</f>
        <v>Z803</v>
      </c>
      <c r="D245" s="85">
        <f>Master!B369</f>
        <v>0</v>
      </c>
      <c r="F245" s="5">
        <v>3</v>
      </c>
      <c r="G245" s="5" t="str">
        <f>Master!A385</f>
        <v>Z819</v>
      </c>
      <c r="H245" s="85">
        <f>Master!B385</f>
        <v>0</v>
      </c>
    </row>
    <row r="246" spans="2:8" x14ac:dyDescent="0.2">
      <c r="B246" s="5">
        <v>4</v>
      </c>
      <c r="C246" s="5" t="str">
        <f>Master!A370</f>
        <v>Z804</v>
      </c>
      <c r="D246" s="85">
        <f>Master!B370</f>
        <v>0</v>
      </c>
      <c r="F246" s="5">
        <v>4</v>
      </c>
      <c r="G246" s="5" t="str">
        <f>Master!A386</f>
        <v>Z820</v>
      </c>
      <c r="H246" s="85">
        <f>Master!B386</f>
        <v>0</v>
      </c>
    </row>
    <row r="247" spans="2:8" x14ac:dyDescent="0.2">
      <c r="B247" s="5">
        <v>5</v>
      </c>
      <c r="C247" s="5" t="str">
        <f>Master!A371</f>
        <v>Z805</v>
      </c>
      <c r="D247" s="85">
        <f>Master!B371</f>
        <v>0</v>
      </c>
      <c r="F247" s="5">
        <v>5</v>
      </c>
      <c r="G247" s="5" t="str">
        <f>Master!A387</f>
        <v>Z821</v>
      </c>
      <c r="H247" s="85">
        <f>Master!B387</f>
        <v>0</v>
      </c>
    </row>
    <row r="248" spans="2:8" x14ac:dyDescent="0.2">
      <c r="B248" s="5">
        <v>6</v>
      </c>
      <c r="C248" s="5" t="str">
        <f>Master!A372</f>
        <v>Z806</v>
      </c>
      <c r="D248" s="85">
        <f>Master!B372</f>
        <v>0</v>
      </c>
      <c r="F248" s="5">
        <v>6</v>
      </c>
      <c r="G248" s="5" t="str">
        <f>Master!A388</f>
        <v>Z822</v>
      </c>
      <c r="H248" s="85">
        <f>Master!B388</f>
        <v>0</v>
      </c>
    </row>
    <row r="249" spans="2:8" x14ac:dyDescent="0.2">
      <c r="B249" s="5">
        <v>7</v>
      </c>
      <c r="C249" s="5" t="str">
        <f>Master!A373</f>
        <v>Z807</v>
      </c>
      <c r="D249" s="85">
        <f>Master!B373</f>
        <v>0</v>
      </c>
      <c r="F249" s="5">
        <v>7</v>
      </c>
      <c r="G249" s="5" t="str">
        <f>Master!A389</f>
        <v>Z823</v>
      </c>
      <c r="H249" s="85">
        <f>Master!B389</f>
        <v>0</v>
      </c>
    </row>
    <row r="250" spans="2:8" x14ac:dyDescent="0.2">
      <c r="B250" s="5">
        <v>8</v>
      </c>
      <c r="C250" s="5" t="str">
        <f>Master!A374</f>
        <v>Z808</v>
      </c>
      <c r="D250" s="85">
        <f>Master!B374</f>
        <v>0</v>
      </c>
      <c r="F250" s="5">
        <v>8</v>
      </c>
      <c r="G250" s="5" t="str">
        <f>Master!A390</f>
        <v>Z824</v>
      </c>
      <c r="H250" s="85">
        <f>Master!B390</f>
        <v>0</v>
      </c>
    </row>
    <row r="251" spans="2:8" x14ac:dyDescent="0.2">
      <c r="B251" s="5">
        <v>9</v>
      </c>
      <c r="C251" s="5" t="str">
        <f>Master!A375</f>
        <v>Z809</v>
      </c>
      <c r="D251" s="85">
        <f>Master!B375</f>
        <v>0</v>
      </c>
      <c r="F251" s="5">
        <v>9</v>
      </c>
      <c r="G251" s="5" t="str">
        <f>Master!A391</f>
        <v>Z825</v>
      </c>
      <c r="H251" s="85">
        <f>Master!B391</f>
        <v>0</v>
      </c>
    </row>
    <row r="252" spans="2:8" x14ac:dyDescent="0.2">
      <c r="B252" s="5">
        <v>10</v>
      </c>
      <c r="C252" s="5" t="str">
        <f>Master!A376</f>
        <v>Z810</v>
      </c>
      <c r="D252" s="85">
        <f>Master!B376</f>
        <v>0</v>
      </c>
      <c r="F252" s="5">
        <v>10</v>
      </c>
      <c r="G252" s="5" t="str">
        <f>Master!A392</f>
        <v>Z826</v>
      </c>
      <c r="H252" s="85">
        <f>Master!B392</f>
        <v>0</v>
      </c>
    </row>
    <row r="253" spans="2:8" x14ac:dyDescent="0.2">
      <c r="B253" s="5">
        <v>11</v>
      </c>
      <c r="C253" s="5" t="str">
        <f>Master!A377</f>
        <v>Z811</v>
      </c>
      <c r="D253" s="85">
        <f>Master!B377</f>
        <v>0</v>
      </c>
      <c r="F253" s="5">
        <v>11</v>
      </c>
      <c r="G253" s="5" t="str">
        <f>Master!A393</f>
        <v>Z827</v>
      </c>
      <c r="H253" s="85">
        <f>Master!B393</f>
        <v>0</v>
      </c>
    </row>
    <row r="254" spans="2:8" x14ac:dyDescent="0.2">
      <c r="B254" s="5">
        <v>12</v>
      </c>
      <c r="C254" s="5" t="str">
        <f>Master!A378</f>
        <v>Z812</v>
      </c>
      <c r="D254" s="85">
        <f>Master!B378</f>
        <v>0</v>
      </c>
      <c r="F254" s="5">
        <v>12</v>
      </c>
      <c r="G254" s="5" t="str">
        <f>Master!A394</f>
        <v>Z828</v>
      </c>
      <c r="H254" s="85">
        <f>Master!B394</f>
        <v>0</v>
      </c>
    </row>
    <row r="255" spans="2:8" x14ac:dyDescent="0.2">
      <c r="B255" s="5">
        <v>13</v>
      </c>
      <c r="C255" s="5" t="str">
        <f>Master!A379</f>
        <v>Z813</v>
      </c>
      <c r="D255" s="85">
        <f>Master!B379</f>
        <v>0</v>
      </c>
      <c r="F255" s="5">
        <v>13</v>
      </c>
      <c r="G255" s="5" t="str">
        <f>Master!A395</f>
        <v>Z829</v>
      </c>
      <c r="H255" s="85">
        <f>Master!B395</f>
        <v>0</v>
      </c>
    </row>
    <row r="256" spans="2:8" x14ac:dyDescent="0.2">
      <c r="B256" s="5">
        <v>14</v>
      </c>
      <c r="C256" s="5" t="str">
        <f>Master!A380</f>
        <v>Z814</v>
      </c>
      <c r="D256" s="85">
        <f>Master!B380</f>
        <v>0</v>
      </c>
      <c r="F256" s="5">
        <v>14</v>
      </c>
      <c r="G256" s="5" t="str">
        <f>Master!A396</f>
        <v>Z830</v>
      </c>
      <c r="H256" s="85">
        <f>Master!B396</f>
        <v>0</v>
      </c>
    </row>
    <row r="257" spans="2:8" x14ac:dyDescent="0.2">
      <c r="B257" s="5">
        <v>15</v>
      </c>
      <c r="C257" s="5" t="str">
        <f>Master!A381</f>
        <v>Z815</v>
      </c>
      <c r="D257" s="85" t="str">
        <f>Master!B381</f>
        <v>PS-19: A/C LOSS</v>
      </c>
      <c r="F257" s="5">
        <v>15</v>
      </c>
      <c r="G257" s="5" t="str">
        <f>Master!A397</f>
        <v>Z831</v>
      </c>
      <c r="H257" s="85" t="str">
        <f>Master!B397</f>
        <v>PS-20: A/C LOSS</v>
      </c>
    </row>
    <row r="258" spans="2:8" x14ac:dyDescent="0.2">
      <c r="B258" s="5">
        <v>16</v>
      </c>
      <c r="C258" s="5" t="str">
        <f>Master!A382</f>
        <v>Z816</v>
      </c>
      <c r="D258" s="85" t="str">
        <f>Master!B382</f>
        <v>PS-19: BATT. TRBL.</v>
      </c>
      <c r="F258" s="5">
        <v>16</v>
      </c>
      <c r="G258" s="5" t="str">
        <f>Master!A398</f>
        <v>Z832</v>
      </c>
      <c r="H258" s="85" t="str">
        <f>Master!B398</f>
        <v>PS-20: BATT. TRBL.</v>
      </c>
    </row>
    <row r="260" spans="2:8" ht="16" customHeight="1" thickBot="1" x14ac:dyDescent="0.25"/>
    <row r="261" spans="2:8" ht="19" customHeight="1" x14ac:dyDescent="0.2">
      <c r="B261" s="115" t="str">
        <f>Header!B3</f>
        <v>[SCHOOL NAME]</v>
      </c>
      <c r="C261" s="119"/>
      <c r="D261" s="116"/>
      <c r="F261" s="115" t="str">
        <f>Header!B3</f>
        <v>[SCHOOL NAME]</v>
      </c>
      <c r="G261" s="119"/>
      <c r="H261" s="116"/>
    </row>
    <row r="262" spans="2:8" ht="19" customHeight="1" x14ac:dyDescent="0.2">
      <c r="B262" s="120" t="str">
        <f>Header!B4</f>
        <v>[ADDRESS]</v>
      </c>
      <c r="C262" s="101"/>
      <c r="D262" s="121"/>
      <c r="F262" s="120" t="str">
        <f>Header!B4</f>
        <v>[ADDRESS]</v>
      </c>
      <c r="G262" s="101"/>
      <c r="H262" s="121"/>
    </row>
    <row r="263" spans="2:8" ht="19" x14ac:dyDescent="0.2">
      <c r="B263" s="120" t="str">
        <f>Header!B5</f>
        <v>[CITY, STATE ZIP]</v>
      </c>
      <c r="C263" s="101"/>
      <c r="D263" s="121"/>
      <c r="F263" s="120" t="str">
        <f>Header!B5</f>
        <v>[CITY, STATE ZIP]</v>
      </c>
      <c r="G263" s="101"/>
      <c r="H263" s="121"/>
    </row>
    <row r="264" spans="2:8" x14ac:dyDescent="0.2">
      <c r="B264" s="10"/>
      <c r="C264" s="11"/>
      <c r="D264" s="83"/>
      <c r="F264" s="10"/>
      <c r="G264" s="11"/>
      <c r="H264" s="6"/>
    </row>
    <row r="265" spans="2:8" ht="17" customHeight="1" thickBot="1" x14ac:dyDescent="0.25">
      <c r="B265" s="114"/>
      <c r="C265" s="104"/>
      <c r="D265" s="105"/>
      <c r="F265" s="114"/>
      <c r="G265" s="104"/>
      <c r="H265" s="105"/>
    </row>
    <row r="266" spans="2:8" ht="17" customHeight="1" thickBot="1" x14ac:dyDescent="0.25">
      <c r="B266" s="122">
        <f>Master!C332</f>
        <v>0</v>
      </c>
      <c r="C266" s="123"/>
      <c r="D266" s="124"/>
      <c r="F266" s="122">
        <f>Master!C396</f>
        <v>0</v>
      </c>
      <c r="G266" s="123"/>
      <c r="H266" s="124"/>
    </row>
    <row r="267" spans="2:8" ht="17" customHeight="1" thickBot="1" x14ac:dyDescent="0.25">
      <c r="B267" s="7" t="s">
        <v>0</v>
      </c>
      <c r="C267" s="7" t="s">
        <v>1</v>
      </c>
      <c r="D267" s="1" t="s">
        <v>2</v>
      </c>
      <c r="F267" s="7" t="s">
        <v>0</v>
      </c>
      <c r="G267" s="7" t="s">
        <v>1</v>
      </c>
      <c r="H267" s="1" t="s">
        <v>2</v>
      </c>
    </row>
    <row r="268" spans="2:8" ht="16" customHeight="1" x14ac:dyDescent="0.2">
      <c r="B268" s="5" t="s">
        <v>3</v>
      </c>
      <c r="C268" s="5" t="s">
        <v>4</v>
      </c>
      <c r="D268" s="12" t="s">
        <v>5</v>
      </c>
      <c r="F268" s="5" t="s">
        <v>3</v>
      </c>
      <c r="G268" s="5" t="s">
        <v>4</v>
      </c>
      <c r="H268" s="12" t="s">
        <v>5</v>
      </c>
    </row>
    <row r="269" spans="2:8" x14ac:dyDescent="0.2">
      <c r="B269" s="5">
        <v>1</v>
      </c>
      <c r="C269" s="5" t="str">
        <f>Master!A399</f>
        <v>Z833</v>
      </c>
      <c r="D269" s="85">
        <f>Master!B399</f>
        <v>0</v>
      </c>
      <c r="F269" s="5">
        <v>1</v>
      </c>
      <c r="G269" s="5" t="str">
        <f>Master!A415</f>
        <v>Z849</v>
      </c>
      <c r="H269" s="85">
        <f>Master!B415</f>
        <v>0</v>
      </c>
    </row>
    <row r="270" spans="2:8" x14ac:dyDescent="0.2">
      <c r="B270" s="5">
        <v>2</v>
      </c>
      <c r="C270" s="5" t="str">
        <f>Master!A400</f>
        <v>Z834</v>
      </c>
      <c r="D270" s="85">
        <f>Master!B400</f>
        <v>0</v>
      </c>
      <c r="F270" s="5">
        <v>2</v>
      </c>
      <c r="G270" s="5" t="str">
        <f>Master!A416</f>
        <v>Z850</v>
      </c>
      <c r="H270" s="85">
        <f>Master!B416</f>
        <v>0</v>
      </c>
    </row>
    <row r="271" spans="2:8" x14ac:dyDescent="0.2">
      <c r="B271" s="5">
        <v>3</v>
      </c>
      <c r="C271" s="5" t="str">
        <f>Master!A401</f>
        <v>Z835</v>
      </c>
      <c r="D271" s="85">
        <f>Master!B401</f>
        <v>0</v>
      </c>
      <c r="F271" s="5">
        <v>3</v>
      </c>
      <c r="G271" s="5" t="str">
        <f>Master!A417</f>
        <v>Z851</v>
      </c>
      <c r="H271" s="85">
        <f>Master!B417</f>
        <v>0</v>
      </c>
    </row>
    <row r="272" spans="2:8" x14ac:dyDescent="0.2">
      <c r="B272" s="5">
        <v>4</v>
      </c>
      <c r="C272" s="5" t="str">
        <f>Master!A402</f>
        <v>Z836</v>
      </c>
      <c r="D272" s="85">
        <f>Master!B402</f>
        <v>0</v>
      </c>
      <c r="F272" s="5">
        <v>4</v>
      </c>
      <c r="G272" s="5" t="str">
        <f>Master!A418</f>
        <v>Z852</v>
      </c>
      <c r="H272" s="85">
        <f>Master!B418</f>
        <v>0</v>
      </c>
    </row>
    <row r="273" spans="2:8" x14ac:dyDescent="0.2">
      <c r="B273" s="5">
        <v>5</v>
      </c>
      <c r="C273" s="5" t="str">
        <f>Master!A403</f>
        <v>Z837</v>
      </c>
      <c r="D273" s="85">
        <f>Master!B403</f>
        <v>0</v>
      </c>
      <c r="F273" s="5">
        <v>5</v>
      </c>
      <c r="G273" s="5" t="str">
        <f>Master!A419</f>
        <v>Z853</v>
      </c>
      <c r="H273" s="85">
        <f>Master!B419</f>
        <v>0</v>
      </c>
    </row>
    <row r="274" spans="2:8" x14ac:dyDescent="0.2">
      <c r="B274" s="5">
        <v>6</v>
      </c>
      <c r="C274" s="5" t="str">
        <f>Master!A404</f>
        <v>Z838</v>
      </c>
      <c r="D274" s="85">
        <f>Master!B404</f>
        <v>0</v>
      </c>
      <c r="F274" s="5">
        <v>6</v>
      </c>
      <c r="G274" s="5" t="str">
        <f>Master!A420</f>
        <v>Z854</v>
      </c>
      <c r="H274" s="85">
        <f>Master!B420</f>
        <v>0</v>
      </c>
    </row>
    <row r="275" spans="2:8" x14ac:dyDescent="0.2">
      <c r="B275" s="5">
        <v>7</v>
      </c>
      <c r="C275" s="5" t="str">
        <f>Master!A405</f>
        <v>Z839</v>
      </c>
      <c r="D275" s="85">
        <f>Master!B405</f>
        <v>0</v>
      </c>
      <c r="F275" s="5">
        <v>7</v>
      </c>
      <c r="G275" s="5" t="str">
        <f>Master!A421</f>
        <v>Z855</v>
      </c>
      <c r="H275" s="85">
        <f>Master!B421</f>
        <v>0</v>
      </c>
    </row>
    <row r="276" spans="2:8" x14ac:dyDescent="0.2">
      <c r="B276" s="5">
        <v>8</v>
      </c>
      <c r="C276" s="5" t="str">
        <f>Master!A406</f>
        <v>Z840</v>
      </c>
      <c r="D276" s="85">
        <f>Master!B406</f>
        <v>0</v>
      </c>
      <c r="F276" s="5">
        <v>8</v>
      </c>
      <c r="G276" s="5" t="str">
        <f>Master!A422</f>
        <v>Z856</v>
      </c>
      <c r="H276" s="85">
        <f>Master!B422</f>
        <v>0</v>
      </c>
    </row>
    <row r="277" spans="2:8" x14ac:dyDescent="0.2">
      <c r="B277" s="5">
        <v>9</v>
      </c>
      <c r="C277" s="5" t="str">
        <f>Master!A407</f>
        <v>Z841</v>
      </c>
      <c r="D277" s="85">
        <f>Master!B407</f>
        <v>0</v>
      </c>
      <c r="F277" s="5">
        <v>9</v>
      </c>
      <c r="G277" s="5" t="str">
        <f>Master!A423</f>
        <v>Z857</v>
      </c>
      <c r="H277" s="85">
        <f>Master!B423</f>
        <v>0</v>
      </c>
    </row>
    <row r="278" spans="2:8" x14ac:dyDescent="0.2">
      <c r="B278" s="5">
        <v>10</v>
      </c>
      <c r="C278" s="5" t="str">
        <f>Master!A408</f>
        <v>Z842</v>
      </c>
      <c r="D278" s="85">
        <f>Master!B408</f>
        <v>0</v>
      </c>
      <c r="F278" s="5">
        <v>10</v>
      </c>
      <c r="G278" s="5" t="str">
        <f>Master!A424</f>
        <v>Z858</v>
      </c>
      <c r="H278" s="85">
        <f>Master!B424</f>
        <v>0</v>
      </c>
    </row>
    <row r="279" spans="2:8" x14ac:dyDescent="0.2">
      <c r="B279" s="5">
        <v>11</v>
      </c>
      <c r="C279" s="5" t="str">
        <f>Master!A409</f>
        <v>Z843</v>
      </c>
      <c r="D279" s="85">
        <f>Master!B409</f>
        <v>0</v>
      </c>
      <c r="F279" s="5">
        <v>11</v>
      </c>
      <c r="G279" s="5" t="str">
        <f>Master!A425</f>
        <v>Z859</v>
      </c>
      <c r="H279" s="85">
        <f>Master!B425</f>
        <v>0</v>
      </c>
    </row>
    <row r="280" spans="2:8" x14ac:dyDescent="0.2">
      <c r="B280" s="5">
        <v>12</v>
      </c>
      <c r="C280" s="5" t="str">
        <f>Master!A410</f>
        <v>Z844</v>
      </c>
      <c r="D280" s="85">
        <f>Master!B410</f>
        <v>0</v>
      </c>
      <c r="F280" s="5">
        <v>12</v>
      </c>
      <c r="G280" s="5" t="str">
        <f>Master!A426</f>
        <v>Z860</v>
      </c>
      <c r="H280" s="85">
        <f>Master!B426</f>
        <v>0</v>
      </c>
    </row>
    <row r="281" spans="2:8" x14ac:dyDescent="0.2">
      <c r="B281" s="5">
        <v>13</v>
      </c>
      <c r="C281" s="5" t="str">
        <f>Master!A411</f>
        <v>Z845</v>
      </c>
      <c r="D281" s="85">
        <f>Master!B411</f>
        <v>0</v>
      </c>
      <c r="F281" s="5">
        <v>13</v>
      </c>
      <c r="G281" s="5" t="str">
        <f>Master!A427</f>
        <v>Z861</v>
      </c>
      <c r="H281" s="85">
        <f>Master!B427</f>
        <v>0</v>
      </c>
    </row>
    <row r="282" spans="2:8" x14ac:dyDescent="0.2">
      <c r="B282" s="5">
        <v>14</v>
      </c>
      <c r="C282" s="5" t="str">
        <f>Master!A412</f>
        <v>Z846</v>
      </c>
      <c r="D282" s="85">
        <f>Master!B412</f>
        <v>0</v>
      </c>
      <c r="F282" s="5">
        <v>14</v>
      </c>
      <c r="G282" s="5" t="str">
        <f>Master!A428</f>
        <v>Z862</v>
      </c>
      <c r="H282" s="85">
        <f>Master!B428</f>
        <v>0</v>
      </c>
    </row>
    <row r="283" spans="2:8" x14ac:dyDescent="0.2">
      <c r="B283" s="5">
        <v>15</v>
      </c>
      <c r="C283" s="5" t="str">
        <f>Master!A413</f>
        <v>Z847</v>
      </c>
      <c r="D283" s="85" t="str">
        <f>Master!B413</f>
        <v>PS-21: A/C LOSS</v>
      </c>
      <c r="F283" s="5">
        <v>15</v>
      </c>
      <c r="G283" s="5" t="str">
        <f>Master!A429</f>
        <v>Z863</v>
      </c>
      <c r="H283" s="85" t="str">
        <f>Master!B429</f>
        <v>PS-22: A/C LOSS</v>
      </c>
    </row>
    <row r="284" spans="2:8" x14ac:dyDescent="0.2">
      <c r="B284" s="5">
        <v>16</v>
      </c>
      <c r="C284" s="5" t="str">
        <f>Master!A414</f>
        <v>Z848</v>
      </c>
      <c r="D284" s="85" t="str">
        <f>Master!B414</f>
        <v>PS-21: BATT. TRBL.</v>
      </c>
      <c r="F284" s="5">
        <v>16</v>
      </c>
      <c r="G284" s="5" t="str">
        <f>Master!A430</f>
        <v>Z864</v>
      </c>
      <c r="H284" s="85" t="str">
        <f>Master!B430</f>
        <v>PS-22: BATT. TRBL.</v>
      </c>
    </row>
    <row r="286" spans="2:8" ht="16" customHeight="1" thickBot="1" x14ac:dyDescent="0.25"/>
    <row r="287" spans="2:8" ht="19" customHeight="1" x14ac:dyDescent="0.2">
      <c r="B287" s="115" t="str">
        <f>Header!B3</f>
        <v>[SCHOOL NAME]</v>
      </c>
      <c r="C287" s="119"/>
      <c r="D287" s="116"/>
      <c r="F287" s="115" t="str">
        <f>Header!B3</f>
        <v>[SCHOOL NAME]</v>
      </c>
      <c r="G287" s="119"/>
      <c r="H287" s="116"/>
    </row>
    <row r="288" spans="2:8" ht="19" customHeight="1" x14ac:dyDescent="0.2">
      <c r="B288" s="120" t="str">
        <f>Header!B4</f>
        <v>[ADDRESS]</v>
      </c>
      <c r="C288" s="101"/>
      <c r="D288" s="121"/>
      <c r="F288" s="120" t="str">
        <f>Header!B4</f>
        <v>[ADDRESS]</v>
      </c>
      <c r="G288" s="101"/>
      <c r="H288" s="121"/>
    </row>
    <row r="289" spans="2:8" ht="19" x14ac:dyDescent="0.2">
      <c r="B289" s="120" t="str">
        <f>Header!B5</f>
        <v>[CITY, STATE ZIP]</v>
      </c>
      <c r="C289" s="101"/>
      <c r="D289" s="121"/>
      <c r="F289" s="120" t="str">
        <f>Header!B5</f>
        <v>[CITY, STATE ZIP]</v>
      </c>
      <c r="G289" s="101"/>
      <c r="H289" s="121"/>
    </row>
    <row r="290" spans="2:8" x14ac:dyDescent="0.2">
      <c r="B290" s="10"/>
      <c r="C290" s="11"/>
      <c r="D290" s="83"/>
      <c r="F290" s="10"/>
      <c r="G290" s="11"/>
      <c r="H290" s="6"/>
    </row>
    <row r="291" spans="2:8" ht="17" customHeight="1" thickBot="1" x14ac:dyDescent="0.25">
      <c r="B291" s="114"/>
      <c r="C291" s="104"/>
      <c r="D291" s="105"/>
      <c r="F291" s="114"/>
      <c r="G291" s="104"/>
      <c r="H291" s="105"/>
    </row>
    <row r="292" spans="2:8" ht="17" customHeight="1" thickBot="1" x14ac:dyDescent="0.25">
      <c r="B292" s="122">
        <f>Master!C412</f>
        <v>0</v>
      </c>
      <c r="C292" s="123"/>
      <c r="D292" s="124"/>
      <c r="F292" s="122">
        <f>Master!C428</f>
        <v>0</v>
      </c>
      <c r="G292" s="123"/>
      <c r="H292" s="124"/>
    </row>
    <row r="293" spans="2:8" ht="17" customHeight="1" thickBot="1" x14ac:dyDescent="0.25">
      <c r="B293" s="7" t="s">
        <v>0</v>
      </c>
      <c r="C293" s="7" t="s">
        <v>1</v>
      </c>
      <c r="D293" s="1" t="s">
        <v>2</v>
      </c>
      <c r="F293" s="7" t="s">
        <v>0</v>
      </c>
      <c r="G293" s="7" t="s">
        <v>1</v>
      </c>
      <c r="H293" s="1" t="s">
        <v>2</v>
      </c>
    </row>
    <row r="294" spans="2:8" ht="16" customHeight="1" x14ac:dyDescent="0.2">
      <c r="B294" s="5" t="s">
        <v>3</v>
      </c>
      <c r="C294" s="5" t="s">
        <v>4</v>
      </c>
      <c r="D294" s="12" t="s">
        <v>5</v>
      </c>
      <c r="F294" s="5" t="s">
        <v>3</v>
      </c>
      <c r="G294" s="5" t="s">
        <v>4</v>
      </c>
      <c r="H294" s="12" t="s">
        <v>5</v>
      </c>
    </row>
    <row r="295" spans="2:8" x14ac:dyDescent="0.2">
      <c r="B295" s="5">
        <v>1</v>
      </c>
      <c r="C295" s="5" t="str">
        <f>Master!A431</f>
        <v>Z865</v>
      </c>
      <c r="D295" s="85">
        <f>Master!B431</f>
        <v>0</v>
      </c>
      <c r="F295" s="5">
        <v>1</v>
      </c>
      <c r="G295" s="5" t="str">
        <f>Master!A447</f>
        <v>Z881</v>
      </c>
      <c r="H295" s="85">
        <f>Master!B447</f>
        <v>0</v>
      </c>
    </row>
    <row r="296" spans="2:8" x14ac:dyDescent="0.2">
      <c r="B296" s="5">
        <v>2</v>
      </c>
      <c r="C296" s="5" t="str">
        <f>Master!A432</f>
        <v>Z866</v>
      </c>
      <c r="D296" s="85">
        <f>Master!B432</f>
        <v>0</v>
      </c>
      <c r="F296" s="5">
        <v>2</v>
      </c>
      <c r="G296" s="5" t="str">
        <f>Master!A448</f>
        <v>Z882</v>
      </c>
      <c r="H296" s="85">
        <f>Master!B448</f>
        <v>0</v>
      </c>
    </row>
    <row r="297" spans="2:8" x14ac:dyDescent="0.2">
      <c r="B297" s="5">
        <v>3</v>
      </c>
      <c r="C297" s="5" t="str">
        <f>Master!A433</f>
        <v>Z867</v>
      </c>
      <c r="D297" s="85">
        <f>Master!B433</f>
        <v>0</v>
      </c>
      <c r="F297" s="5">
        <v>3</v>
      </c>
      <c r="G297" s="5" t="str">
        <f>Master!A449</f>
        <v>Z883</v>
      </c>
      <c r="H297" s="85">
        <f>Master!B449</f>
        <v>0</v>
      </c>
    </row>
    <row r="298" spans="2:8" x14ac:dyDescent="0.2">
      <c r="B298" s="5">
        <v>4</v>
      </c>
      <c r="C298" s="5" t="str">
        <f>Master!A434</f>
        <v>Z868</v>
      </c>
      <c r="D298" s="85">
        <f>Master!B434</f>
        <v>0</v>
      </c>
      <c r="F298" s="5">
        <v>4</v>
      </c>
      <c r="G298" s="5" t="str">
        <f>Master!A450</f>
        <v>Z884</v>
      </c>
      <c r="H298" s="85">
        <f>Master!B450</f>
        <v>0</v>
      </c>
    </row>
    <row r="299" spans="2:8" x14ac:dyDescent="0.2">
      <c r="B299" s="5">
        <v>5</v>
      </c>
      <c r="C299" s="5" t="str">
        <f>Master!A435</f>
        <v>Z869</v>
      </c>
      <c r="D299" s="85">
        <f>Master!B435</f>
        <v>0</v>
      </c>
      <c r="F299" s="5">
        <v>5</v>
      </c>
      <c r="G299" s="5" t="str">
        <f>Master!A451</f>
        <v>Z885</v>
      </c>
      <c r="H299" s="85">
        <f>Master!B451</f>
        <v>0</v>
      </c>
    </row>
    <row r="300" spans="2:8" x14ac:dyDescent="0.2">
      <c r="B300" s="5">
        <v>6</v>
      </c>
      <c r="C300" s="5" t="str">
        <f>Master!A436</f>
        <v>Z870</v>
      </c>
      <c r="D300" s="85">
        <f>Master!B436</f>
        <v>0</v>
      </c>
      <c r="F300" s="5">
        <v>6</v>
      </c>
      <c r="G300" s="5" t="str">
        <f>Master!A452</f>
        <v>Z886</v>
      </c>
      <c r="H300" s="85">
        <f>Master!B452</f>
        <v>0</v>
      </c>
    </row>
    <row r="301" spans="2:8" x14ac:dyDescent="0.2">
      <c r="B301" s="5">
        <v>7</v>
      </c>
      <c r="C301" s="5" t="str">
        <f>Master!A437</f>
        <v>Z871</v>
      </c>
      <c r="D301" s="85">
        <f>Master!B437</f>
        <v>0</v>
      </c>
      <c r="F301" s="5">
        <v>7</v>
      </c>
      <c r="G301" s="5" t="str">
        <f>Master!A453</f>
        <v>Z887</v>
      </c>
      <c r="H301" s="85">
        <f>Master!B453</f>
        <v>0</v>
      </c>
    </row>
    <row r="302" spans="2:8" x14ac:dyDescent="0.2">
      <c r="B302" s="5">
        <v>8</v>
      </c>
      <c r="C302" s="5" t="str">
        <f>Master!A438</f>
        <v>Z872</v>
      </c>
      <c r="D302" s="85">
        <f>Master!B438</f>
        <v>0</v>
      </c>
      <c r="F302" s="5">
        <v>8</v>
      </c>
      <c r="G302" s="5" t="str">
        <f>Master!A454</f>
        <v>Z888</v>
      </c>
      <c r="H302" s="85">
        <f>Master!B454</f>
        <v>0</v>
      </c>
    </row>
    <row r="303" spans="2:8" x14ac:dyDescent="0.2">
      <c r="B303" s="5">
        <v>9</v>
      </c>
      <c r="C303" s="5" t="str">
        <f>Master!A439</f>
        <v>Z873</v>
      </c>
      <c r="D303" s="85">
        <f>Master!B439</f>
        <v>0</v>
      </c>
      <c r="F303" s="5">
        <v>9</v>
      </c>
      <c r="G303" s="5" t="str">
        <f>Master!A455</f>
        <v>Z889</v>
      </c>
      <c r="H303" s="85">
        <f>Master!B455</f>
        <v>0</v>
      </c>
    </row>
    <row r="304" spans="2:8" x14ac:dyDescent="0.2">
      <c r="B304" s="5">
        <v>10</v>
      </c>
      <c r="C304" s="5" t="str">
        <f>Master!A440</f>
        <v>Z874</v>
      </c>
      <c r="D304" s="85">
        <f>Master!B440</f>
        <v>0</v>
      </c>
      <c r="F304" s="5">
        <v>10</v>
      </c>
      <c r="G304" s="5" t="str">
        <f>Master!A456</f>
        <v>Z890</v>
      </c>
      <c r="H304" s="85">
        <f>Master!B456</f>
        <v>0</v>
      </c>
    </row>
    <row r="305" spans="2:8" x14ac:dyDescent="0.2">
      <c r="B305" s="5">
        <v>11</v>
      </c>
      <c r="C305" s="5" t="str">
        <f>Master!A441</f>
        <v>Z875</v>
      </c>
      <c r="D305" s="85">
        <f>Master!B441</f>
        <v>0</v>
      </c>
      <c r="F305" s="5">
        <v>11</v>
      </c>
      <c r="G305" s="5" t="str">
        <f>Master!A457</f>
        <v>Z891</v>
      </c>
      <c r="H305" s="85">
        <f>Master!B457</f>
        <v>0</v>
      </c>
    </row>
    <row r="306" spans="2:8" x14ac:dyDescent="0.2">
      <c r="B306" s="5">
        <v>12</v>
      </c>
      <c r="C306" s="5" t="str">
        <f>Master!A442</f>
        <v>Z876</v>
      </c>
      <c r="D306" s="85">
        <f>Master!B442</f>
        <v>0</v>
      </c>
      <c r="F306" s="5">
        <v>12</v>
      </c>
      <c r="G306" s="5" t="str">
        <f>Master!A458</f>
        <v>Z892</v>
      </c>
      <c r="H306" s="85">
        <f>Master!B458</f>
        <v>0</v>
      </c>
    </row>
    <row r="307" spans="2:8" x14ac:dyDescent="0.2">
      <c r="B307" s="5">
        <v>13</v>
      </c>
      <c r="C307" s="5" t="str">
        <f>Master!A443</f>
        <v>Z877</v>
      </c>
      <c r="D307" s="85">
        <f>Master!B443</f>
        <v>0</v>
      </c>
      <c r="F307" s="5">
        <v>13</v>
      </c>
      <c r="G307" s="5" t="str">
        <f>Master!A459</f>
        <v>Z893</v>
      </c>
      <c r="H307" s="85">
        <f>Master!B459</f>
        <v>0</v>
      </c>
    </row>
    <row r="308" spans="2:8" x14ac:dyDescent="0.2">
      <c r="B308" s="5">
        <v>14</v>
      </c>
      <c r="C308" s="5" t="str">
        <f>Master!A444</f>
        <v>Z878</v>
      </c>
      <c r="D308" s="85">
        <f>Master!B444</f>
        <v>0</v>
      </c>
      <c r="F308" s="5">
        <v>14</v>
      </c>
      <c r="G308" s="5" t="str">
        <f>Master!A460</f>
        <v>Z894</v>
      </c>
      <c r="H308" s="85">
        <f>Master!B460</f>
        <v>0</v>
      </c>
    </row>
    <row r="309" spans="2:8" x14ac:dyDescent="0.2">
      <c r="B309" s="5">
        <v>15</v>
      </c>
      <c r="C309" s="5" t="str">
        <f>Master!A445</f>
        <v>Z879</v>
      </c>
      <c r="D309" s="85" t="str">
        <f>Master!B445</f>
        <v>PS-23: A/C LOSS</v>
      </c>
      <c r="F309" s="5">
        <v>15</v>
      </c>
      <c r="G309" s="5" t="str">
        <f>Master!A461</f>
        <v>Z895</v>
      </c>
      <c r="H309" s="85" t="str">
        <f>Master!B461</f>
        <v>PS-24: A/C LOSS</v>
      </c>
    </row>
    <row r="310" spans="2:8" x14ac:dyDescent="0.2">
      <c r="B310" s="5">
        <v>16</v>
      </c>
      <c r="C310" s="5" t="str">
        <f>Master!A446</f>
        <v>Z880</v>
      </c>
      <c r="D310" s="85" t="str">
        <f>Master!B446</f>
        <v>PS-23: BATT. TRBL.</v>
      </c>
      <c r="F310" s="5">
        <v>16</v>
      </c>
      <c r="G310" s="5" t="str">
        <f>Master!A462</f>
        <v>Z896</v>
      </c>
      <c r="H310" s="85" t="str">
        <f>Master!B462</f>
        <v>PS-24: BATT. TRBL.</v>
      </c>
    </row>
    <row r="312" spans="2:8" ht="16" customHeight="1" thickBot="1" x14ac:dyDescent="0.25"/>
    <row r="313" spans="2:8" ht="19" customHeight="1" x14ac:dyDescent="0.2">
      <c r="B313" s="115" t="str">
        <f>Header!B3</f>
        <v>[SCHOOL NAME]</v>
      </c>
      <c r="C313" s="119"/>
      <c r="D313" s="116"/>
      <c r="F313" s="115" t="str">
        <f>Header!B3</f>
        <v>[SCHOOL NAME]</v>
      </c>
      <c r="G313" s="119"/>
      <c r="H313" s="116"/>
    </row>
    <row r="314" spans="2:8" ht="19" customHeight="1" x14ac:dyDescent="0.2">
      <c r="B314" s="120" t="str">
        <f>Header!B4</f>
        <v>[ADDRESS]</v>
      </c>
      <c r="C314" s="101"/>
      <c r="D314" s="121"/>
      <c r="F314" s="120" t="str">
        <f>Header!B4</f>
        <v>[ADDRESS]</v>
      </c>
      <c r="G314" s="101"/>
      <c r="H314" s="121"/>
    </row>
    <row r="315" spans="2:8" ht="19" x14ac:dyDescent="0.2">
      <c r="B315" s="120" t="str">
        <f>Header!B5</f>
        <v>[CITY, STATE ZIP]</v>
      </c>
      <c r="C315" s="101"/>
      <c r="D315" s="121"/>
      <c r="F315" s="120" t="str">
        <f>Header!B5</f>
        <v>[CITY, STATE ZIP]</v>
      </c>
      <c r="G315" s="101"/>
      <c r="H315" s="121"/>
    </row>
    <row r="316" spans="2:8" x14ac:dyDescent="0.2">
      <c r="B316" s="10"/>
      <c r="C316" s="11"/>
      <c r="D316" s="83"/>
      <c r="F316" s="10"/>
      <c r="G316" s="11"/>
      <c r="H316" s="6"/>
    </row>
    <row r="317" spans="2:8" ht="17" customHeight="1" thickBot="1" x14ac:dyDescent="0.25">
      <c r="B317" s="114"/>
      <c r="C317" s="104"/>
      <c r="D317" s="105"/>
      <c r="F317" s="114"/>
      <c r="G317" s="104"/>
      <c r="H317" s="105"/>
    </row>
    <row r="318" spans="2:8" ht="17" customHeight="1" thickBot="1" x14ac:dyDescent="0.25">
      <c r="B318" s="122">
        <f>Master!C444</f>
        <v>0</v>
      </c>
      <c r="C318" s="123"/>
      <c r="D318" s="124"/>
      <c r="F318" s="122">
        <f>Master!C492</f>
        <v>0</v>
      </c>
      <c r="G318" s="123"/>
      <c r="H318" s="124"/>
    </row>
    <row r="319" spans="2:8" ht="17" customHeight="1" thickBot="1" x14ac:dyDescent="0.25">
      <c r="B319" s="7" t="s">
        <v>0</v>
      </c>
      <c r="C319" s="7" t="s">
        <v>1</v>
      </c>
      <c r="D319" s="1" t="s">
        <v>2</v>
      </c>
      <c r="F319" s="7" t="s">
        <v>0</v>
      </c>
      <c r="G319" s="7" t="s">
        <v>1</v>
      </c>
      <c r="H319" s="1" t="s">
        <v>2</v>
      </c>
    </row>
    <row r="320" spans="2:8" ht="16" customHeight="1" x14ac:dyDescent="0.2">
      <c r="B320" s="5" t="s">
        <v>3</v>
      </c>
      <c r="C320" s="5" t="s">
        <v>4</v>
      </c>
      <c r="D320" s="12" t="s">
        <v>5</v>
      </c>
      <c r="F320" s="5" t="s">
        <v>3</v>
      </c>
      <c r="G320" s="5" t="s">
        <v>4</v>
      </c>
      <c r="H320" s="12" t="s">
        <v>5</v>
      </c>
    </row>
    <row r="321" spans="2:8" x14ac:dyDescent="0.2">
      <c r="B321" s="5">
        <v>1</v>
      </c>
      <c r="C321" s="5" t="str">
        <f>Master!A467</f>
        <v>Z901</v>
      </c>
      <c r="D321" s="85">
        <f>Master!B467</f>
        <v>0</v>
      </c>
      <c r="F321" s="5">
        <v>1</v>
      </c>
      <c r="G321" s="5" t="str">
        <f>Master!A483</f>
        <v>Z917</v>
      </c>
      <c r="H321" s="85">
        <f>Master!B483</f>
        <v>0</v>
      </c>
    </row>
    <row r="322" spans="2:8" x14ac:dyDescent="0.2">
      <c r="B322" s="5">
        <v>2</v>
      </c>
      <c r="C322" s="5" t="str">
        <f>Master!A468</f>
        <v>Z902</v>
      </c>
      <c r="D322" s="85">
        <f>Master!B468</f>
        <v>0</v>
      </c>
      <c r="F322" s="5">
        <v>2</v>
      </c>
      <c r="G322" s="5" t="str">
        <f>Master!A484</f>
        <v>Z918</v>
      </c>
      <c r="H322" s="85">
        <f>Master!B484</f>
        <v>0</v>
      </c>
    </row>
    <row r="323" spans="2:8" x14ac:dyDescent="0.2">
      <c r="B323" s="5">
        <v>3</v>
      </c>
      <c r="C323" s="5" t="str">
        <f>Master!A469</f>
        <v>Z903</v>
      </c>
      <c r="D323" s="85">
        <f>Master!B469</f>
        <v>0</v>
      </c>
      <c r="F323" s="5">
        <v>3</v>
      </c>
      <c r="G323" s="5" t="str">
        <f>Master!A485</f>
        <v>Z919</v>
      </c>
      <c r="H323" s="85">
        <f>Master!B485</f>
        <v>0</v>
      </c>
    </row>
    <row r="324" spans="2:8" x14ac:dyDescent="0.2">
      <c r="B324" s="5">
        <v>4</v>
      </c>
      <c r="C324" s="5" t="str">
        <f>Master!A470</f>
        <v>Z904</v>
      </c>
      <c r="D324" s="85">
        <f>Master!B470</f>
        <v>0</v>
      </c>
      <c r="F324" s="5">
        <v>4</v>
      </c>
      <c r="G324" s="5" t="str">
        <f>Master!A486</f>
        <v>Z920</v>
      </c>
      <c r="H324" s="85">
        <f>Master!B486</f>
        <v>0</v>
      </c>
    </row>
    <row r="325" spans="2:8" x14ac:dyDescent="0.2">
      <c r="B325" s="5">
        <v>5</v>
      </c>
      <c r="C325" s="5" t="str">
        <f>Master!A471</f>
        <v>Z905</v>
      </c>
      <c r="D325" s="85">
        <f>Master!B471</f>
        <v>0</v>
      </c>
      <c r="F325" s="5">
        <v>5</v>
      </c>
      <c r="G325" s="5" t="str">
        <f>Master!A487</f>
        <v>Z921</v>
      </c>
      <c r="H325" s="85">
        <f>Master!B487</f>
        <v>0</v>
      </c>
    </row>
    <row r="326" spans="2:8" x14ac:dyDescent="0.2">
      <c r="B326" s="5">
        <v>6</v>
      </c>
      <c r="C326" s="5" t="str">
        <f>Master!A472</f>
        <v>Z906</v>
      </c>
      <c r="D326" s="85">
        <f>Master!B472</f>
        <v>0</v>
      </c>
      <c r="F326" s="5">
        <v>6</v>
      </c>
      <c r="G326" s="5" t="str">
        <f>Master!A488</f>
        <v>Z922</v>
      </c>
      <c r="H326" s="85">
        <f>Master!B488</f>
        <v>0</v>
      </c>
    </row>
    <row r="327" spans="2:8" x14ac:dyDescent="0.2">
      <c r="B327" s="5">
        <v>7</v>
      </c>
      <c r="C327" s="5" t="str">
        <f>Master!A473</f>
        <v>Z907</v>
      </c>
      <c r="D327" s="85">
        <f>Master!B473</f>
        <v>0</v>
      </c>
      <c r="F327" s="5">
        <v>7</v>
      </c>
      <c r="G327" s="5" t="str">
        <f>Master!A489</f>
        <v>Z923</v>
      </c>
      <c r="H327" s="85">
        <f>Master!B489</f>
        <v>0</v>
      </c>
    </row>
    <row r="328" spans="2:8" x14ac:dyDescent="0.2">
      <c r="B328" s="5">
        <v>8</v>
      </c>
      <c r="C328" s="5" t="str">
        <f>Master!A474</f>
        <v>Z908</v>
      </c>
      <c r="D328" s="85">
        <f>Master!B474</f>
        <v>0</v>
      </c>
      <c r="F328" s="5">
        <v>8</v>
      </c>
      <c r="G328" s="5" t="str">
        <f>Master!A490</f>
        <v>Z924</v>
      </c>
      <c r="H328" s="85">
        <f>Master!B490</f>
        <v>0</v>
      </c>
    </row>
    <row r="329" spans="2:8" x14ac:dyDescent="0.2">
      <c r="B329" s="5">
        <v>9</v>
      </c>
      <c r="C329" s="5" t="str">
        <f>Master!A475</f>
        <v>Z909</v>
      </c>
      <c r="D329" s="85">
        <f>Master!B475</f>
        <v>0</v>
      </c>
      <c r="F329" s="5">
        <v>9</v>
      </c>
      <c r="G329" s="5" t="str">
        <f>Master!A491</f>
        <v>Z925</v>
      </c>
      <c r="H329" s="85">
        <f>Master!B491</f>
        <v>0</v>
      </c>
    </row>
    <row r="330" spans="2:8" x14ac:dyDescent="0.2">
      <c r="B330" s="5">
        <v>10</v>
      </c>
      <c r="C330" s="5" t="str">
        <f>Master!A476</f>
        <v>Z910</v>
      </c>
      <c r="D330" s="85">
        <f>Master!B476</f>
        <v>0</v>
      </c>
      <c r="F330" s="5">
        <v>10</v>
      </c>
      <c r="G330" s="5" t="str">
        <f>Master!A492</f>
        <v>Z926</v>
      </c>
      <c r="H330" s="85">
        <f>Master!B492</f>
        <v>0</v>
      </c>
    </row>
    <row r="331" spans="2:8" x14ac:dyDescent="0.2">
      <c r="B331" s="5">
        <v>11</v>
      </c>
      <c r="C331" s="5" t="str">
        <f>Master!A477</f>
        <v>Z911</v>
      </c>
      <c r="D331" s="85">
        <f>Master!B477</f>
        <v>0</v>
      </c>
      <c r="F331" s="5">
        <v>11</v>
      </c>
      <c r="G331" s="5" t="str">
        <f>Master!A493</f>
        <v>Z927</v>
      </c>
      <c r="H331" s="85">
        <f>Master!B493</f>
        <v>0</v>
      </c>
    </row>
    <row r="332" spans="2:8" x14ac:dyDescent="0.2">
      <c r="B332" s="5">
        <v>12</v>
      </c>
      <c r="C332" s="5" t="str">
        <f>Master!A478</f>
        <v>Z912</v>
      </c>
      <c r="D332" s="85">
        <f>Master!B478</f>
        <v>0</v>
      </c>
      <c r="F332" s="5">
        <v>12</v>
      </c>
      <c r="G332" s="5" t="str">
        <f>Master!A494</f>
        <v>Z928</v>
      </c>
      <c r="H332" s="85">
        <f>Master!B494</f>
        <v>0</v>
      </c>
    </row>
    <row r="333" spans="2:8" x14ac:dyDescent="0.2">
      <c r="B333" s="5">
        <v>13</v>
      </c>
      <c r="C333" s="5" t="str">
        <f>Master!A479</f>
        <v>Z913</v>
      </c>
      <c r="D333" s="85">
        <f>Master!B479</f>
        <v>0</v>
      </c>
      <c r="F333" s="5">
        <v>13</v>
      </c>
      <c r="G333" s="5" t="str">
        <f>Master!A495</f>
        <v>Z929</v>
      </c>
      <c r="H333" s="85">
        <f>Master!B495</f>
        <v>0</v>
      </c>
    </row>
    <row r="334" spans="2:8" x14ac:dyDescent="0.2">
      <c r="B334" s="5">
        <v>14</v>
      </c>
      <c r="C334" s="5" t="str">
        <f>Master!A480</f>
        <v>Z914</v>
      </c>
      <c r="D334" s="85">
        <f>Master!B480</f>
        <v>0</v>
      </c>
      <c r="F334" s="5">
        <v>14</v>
      </c>
      <c r="G334" s="5" t="str">
        <f>Master!A496</f>
        <v>Z930</v>
      </c>
      <c r="H334" s="85">
        <f>Master!B496</f>
        <v>0</v>
      </c>
    </row>
    <row r="335" spans="2:8" x14ac:dyDescent="0.2">
      <c r="B335" s="5">
        <v>15</v>
      </c>
      <c r="C335" s="5" t="str">
        <f>Master!A481</f>
        <v>Z915</v>
      </c>
      <c r="D335" s="85" t="str">
        <f>Master!B481</f>
        <v>PS-25: A/C LOSS</v>
      </c>
      <c r="F335" s="5">
        <v>15</v>
      </c>
      <c r="G335" s="5" t="str">
        <f>Master!A497</f>
        <v>Z931</v>
      </c>
      <c r="H335" s="85" t="str">
        <f>Master!B497</f>
        <v>PS-26: A/C LOSS</v>
      </c>
    </row>
    <row r="336" spans="2:8" x14ac:dyDescent="0.2">
      <c r="B336" s="5">
        <v>16</v>
      </c>
      <c r="C336" s="5" t="str">
        <f>Master!A482</f>
        <v>Z916</v>
      </c>
      <c r="D336" s="85" t="str">
        <f>Master!B482</f>
        <v>PS-25: BATT. TRBL.</v>
      </c>
      <c r="F336" s="5">
        <v>16</v>
      </c>
      <c r="G336" s="5" t="str">
        <f>Master!A498</f>
        <v>Z932</v>
      </c>
      <c r="H336" s="85" t="str">
        <f>Master!B498</f>
        <v>PS-26: BATT. TRBL.</v>
      </c>
    </row>
    <row r="338" spans="2:8" ht="16" customHeight="1" thickBot="1" x14ac:dyDescent="0.25"/>
    <row r="339" spans="2:8" ht="19" customHeight="1" x14ac:dyDescent="0.2">
      <c r="B339" s="130" t="str">
        <f>Header!B3</f>
        <v>[SCHOOL NAME]</v>
      </c>
      <c r="C339" s="119"/>
      <c r="D339" s="131"/>
      <c r="E339" s="23"/>
      <c r="F339" s="130" t="str">
        <f>Header!B3</f>
        <v>[SCHOOL NAME]</v>
      </c>
      <c r="G339" s="119"/>
      <c r="H339" s="131"/>
    </row>
    <row r="340" spans="2:8" ht="19" customHeight="1" x14ac:dyDescent="0.2">
      <c r="B340" s="134" t="str">
        <f>Header!B4</f>
        <v>[ADDRESS]</v>
      </c>
      <c r="C340" s="107"/>
      <c r="D340" s="135"/>
      <c r="E340" s="23"/>
      <c r="F340" s="134" t="str">
        <f>Header!B4</f>
        <v>[ADDRESS]</v>
      </c>
      <c r="G340" s="107"/>
      <c r="H340" s="135"/>
    </row>
    <row r="341" spans="2:8" ht="19" x14ac:dyDescent="0.2">
      <c r="B341" s="134" t="str">
        <f>Header!B5</f>
        <v>[CITY, STATE ZIP]</v>
      </c>
      <c r="C341" s="107"/>
      <c r="D341" s="135"/>
      <c r="E341" s="23"/>
      <c r="F341" s="134" t="str">
        <f>Header!B5</f>
        <v>[CITY, STATE ZIP]</v>
      </c>
      <c r="G341" s="107"/>
      <c r="H341" s="135"/>
    </row>
    <row r="342" spans="2:8" x14ac:dyDescent="0.2">
      <c r="B342" s="24"/>
      <c r="C342" s="25"/>
      <c r="D342" s="84"/>
      <c r="E342" s="23"/>
      <c r="F342" s="24"/>
      <c r="G342" s="25"/>
      <c r="H342" s="26"/>
    </row>
    <row r="343" spans="2:8" ht="17" customHeight="1" thickBot="1" x14ac:dyDescent="0.25">
      <c r="B343" s="132"/>
      <c r="C343" s="104"/>
      <c r="D343" s="133"/>
      <c r="E343" s="23"/>
      <c r="F343" s="132"/>
      <c r="G343" s="104"/>
      <c r="H343" s="133"/>
    </row>
    <row r="344" spans="2:8" ht="17" customHeight="1" thickBot="1" x14ac:dyDescent="0.25">
      <c r="B344" s="127">
        <f>Master!C508</f>
        <v>0</v>
      </c>
      <c r="C344" s="128"/>
      <c r="D344" s="129"/>
      <c r="E344" s="23"/>
      <c r="F344" s="127">
        <f>Master!C524</f>
        <v>0</v>
      </c>
      <c r="G344" s="128"/>
      <c r="H344" s="129"/>
    </row>
    <row r="345" spans="2:8" ht="17" customHeight="1" thickBot="1" x14ac:dyDescent="0.25">
      <c r="B345" s="27" t="s">
        <v>0</v>
      </c>
      <c r="C345" s="28" t="s">
        <v>1</v>
      </c>
      <c r="D345" s="29" t="s">
        <v>2</v>
      </c>
      <c r="E345" s="23"/>
      <c r="F345" s="27" t="s">
        <v>0</v>
      </c>
      <c r="G345" s="28" t="s">
        <v>1</v>
      </c>
      <c r="H345" s="29" t="s">
        <v>2</v>
      </c>
    </row>
    <row r="346" spans="2:8" ht="16" customHeight="1" x14ac:dyDescent="0.2">
      <c r="B346" s="30" t="s">
        <v>3</v>
      </c>
      <c r="C346" s="31" t="s">
        <v>4</v>
      </c>
      <c r="D346" s="32" t="s">
        <v>5</v>
      </c>
      <c r="E346" s="23"/>
      <c r="F346" s="30" t="s">
        <v>3</v>
      </c>
      <c r="G346" s="31" t="s">
        <v>4</v>
      </c>
      <c r="H346" s="32" t="s">
        <v>5</v>
      </c>
    </row>
    <row r="347" spans="2:8" x14ac:dyDescent="0.2">
      <c r="B347" s="33">
        <v>1</v>
      </c>
      <c r="C347" s="34" t="str">
        <f>Master!A499</f>
        <v>Z933</v>
      </c>
      <c r="D347" s="86">
        <f>Master!B499</f>
        <v>0</v>
      </c>
      <c r="E347" s="23"/>
      <c r="F347" s="33">
        <v>1</v>
      </c>
      <c r="G347" s="34" t="str">
        <f>Master!A515</f>
        <v>Z949</v>
      </c>
      <c r="H347" s="86">
        <f>Master!B515</f>
        <v>0</v>
      </c>
    </row>
    <row r="348" spans="2:8" x14ac:dyDescent="0.2">
      <c r="B348" s="30">
        <v>2</v>
      </c>
      <c r="C348" s="31" t="str">
        <f>Master!A500</f>
        <v>Z934</v>
      </c>
      <c r="D348" s="87">
        <f>Master!B500</f>
        <v>0</v>
      </c>
      <c r="E348" s="23"/>
      <c r="F348" s="30">
        <v>2</v>
      </c>
      <c r="G348" s="31" t="str">
        <f>Master!A516</f>
        <v>Z950</v>
      </c>
      <c r="H348" s="87">
        <f>Master!B516</f>
        <v>0</v>
      </c>
    </row>
    <row r="349" spans="2:8" x14ac:dyDescent="0.2">
      <c r="B349" s="33">
        <v>3</v>
      </c>
      <c r="C349" s="34" t="str">
        <f>Master!A501</f>
        <v>Z935</v>
      </c>
      <c r="D349" s="86">
        <f>Master!B501</f>
        <v>0</v>
      </c>
      <c r="E349" s="23"/>
      <c r="F349" s="33">
        <v>3</v>
      </c>
      <c r="G349" s="34" t="str">
        <f>Master!A517</f>
        <v>Z951</v>
      </c>
      <c r="H349" s="86">
        <f>Master!B517</f>
        <v>0</v>
      </c>
    </row>
    <row r="350" spans="2:8" x14ac:dyDescent="0.2">
      <c r="B350" s="30">
        <v>4</v>
      </c>
      <c r="C350" s="31" t="str">
        <f>Master!A502</f>
        <v>Z936</v>
      </c>
      <c r="D350" s="87">
        <f>Master!B502</f>
        <v>0</v>
      </c>
      <c r="E350" s="23"/>
      <c r="F350" s="30">
        <v>4</v>
      </c>
      <c r="G350" s="31" t="str">
        <f>Master!A518</f>
        <v>Z952</v>
      </c>
      <c r="H350" s="87">
        <f>Master!B518</f>
        <v>0</v>
      </c>
    </row>
    <row r="351" spans="2:8" x14ac:dyDescent="0.2">
      <c r="B351" s="33">
        <v>5</v>
      </c>
      <c r="C351" s="34" t="str">
        <f>Master!A503</f>
        <v>Z937</v>
      </c>
      <c r="D351" s="86">
        <f>Master!B503</f>
        <v>0</v>
      </c>
      <c r="E351" s="23"/>
      <c r="F351" s="33">
        <v>5</v>
      </c>
      <c r="G351" s="34" t="str">
        <f>Master!A519</f>
        <v>Z953</v>
      </c>
      <c r="H351" s="86">
        <f>Master!B519</f>
        <v>0</v>
      </c>
    </row>
    <row r="352" spans="2:8" x14ac:dyDescent="0.2">
      <c r="B352" s="30">
        <v>6</v>
      </c>
      <c r="C352" s="31" t="str">
        <f>Master!A504</f>
        <v>Z938</v>
      </c>
      <c r="D352" s="87">
        <f>Master!B504</f>
        <v>0</v>
      </c>
      <c r="E352" s="23"/>
      <c r="F352" s="30">
        <v>6</v>
      </c>
      <c r="G352" s="31" t="str">
        <f>Master!A520</f>
        <v>Z954</v>
      </c>
      <c r="H352" s="87">
        <f>Master!B520</f>
        <v>0</v>
      </c>
    </row>
    <row r="353" spans="2:8" x14ac:dyDescent="0.2">
      <c r="B353" s="33">
        <v>7</v>
      </c>
      <c r="C353" s="34" t="str">
        <f>Master!A505</f>
        <v>Z939</v>
      </c>
      <c r="D353" s="86">
        <f>Master!B505</f>
        <v>0</v>
      </c>
      <c r="E353" s="23"/>
      <c r="F353" s="33">
        <v>7</v>
      </c>
      <c r="G353" s="34" t="str">
        <f>Master!A521</f>
        <v>Z955</v>
      </c>
      <c r="H353" s="86">
        <f>Master!B521</f>
        <v>0</v>
      </c>
    </row>
    <row r="354" spans="2:8" x14ac:dyDescent="0.2">
      <c r="B354" s="30">
        <v>8</v>
      </c>
      <c r="C354" s="31" t="str">
        <f>Master!A506</f>
        <v>Z940</v>
      </c>
      <c r="D354" s="87">
        <f>Master!B506</f>
        <v>0</v>
      </c>
      <c r="E354" s="23"/>
      <c r="F354" s="30">
        <v>8</v>
      </c>
      <c r="G354" s="31" t="str">
        <f>Master!A522</f>
        <v>Z956</v>
      </c>
      <c r="H354" s="87">
        <f>Master!B522</f>
        <v>0</v>
      </c>
    </row>
    <row r="355" spans="2:8" x14ac:dyDescent="0.2">
      <c r="B355" s="33">
        <v>9</v>
      </c>
      <c r="C355" s="34" t="str">
        <f>Master!A507</f>
        <v>Z941</v>
      </c>
      <c r="D355" s="86">
        <f>Master!B507</f>
        <v>0</v>
      </c>
      <c r="E355" s="23"/>
      <c r="F355" s="33">
        <v>9</v>
      </c>
      <c r="G355" s="34" t="str">
        <f>Master!A523</f>
        <v>Z957</v>
      </c>
      <c r="H355" s="86">
        <f>Master!B523</f>
        <v>0</v>
      </c>
    </row>
    <row r="356" spans="2:8" x14ac:dyDescent="0.2">
      <c r="B356" s="30">
        <v>10</v>
      </c>
      <c r="C356" s="31" t="str">
        <f>Master!A508</f>
        <v>Z942</v>
      </c>
      <c r="D356" s="87">
        <f>Master!B508</f>
        <v>0</v>
      </c>
      <c r="E356" s="23"/>
      <c r="F356" s="30">
        <v>10</v>
      </c>
      <c r="G356" s="31" t="str">
        <f>Master!A524</f>
        <v>Z958</v>
      </c>
      <c r="H356" s="87">
        <f>Master!B524</f>
        <v>0</v>
      </c>
    </row>
    <row r="357" spans="2:8" x14ac:dyDescent="0.2">
      <c r="B357" s="33">
        <v>11</v>
      </c>
      <c r="C357" s="34" t="str">
        <f>Master!A509</f>
        <v>Z943</v>
      </c>
      <c r="D357" s="86">
        <f>Master!B509</f>
        <v>0</v>
      </c>
      <c r="E357" s="23"/>
      <c r="F357" s="33">
        <v>11</v>
      </c>
      <c r="G357" s="34" t="str">
        <f>Master!A525</f>
        <v>Z959</v>
      </c>
      <c r="H357" s="86">
        <f>Master!B525</f>
        <v>0</v>
      </c>
    </row>
    <row r="358" spans="2:8" x14ac:dyDescent="0.2">
      <c r="B358" s="30">
        <v>12</v>
      </c>
      <c r="C358" s="31" t="str">
        <f>Master!A510</f>
        <v>Z944</v>
      </c>
      <c r="D358" s="87">
        <f>Master!B510</f>
        <v>0</v>
      </c>
      <c r="E358" s="23"/>
      <c r="F358" s="30">
        <v>12</v>
      </c>
      <c r="G358" s="31" t="str">
        <f>Master!A526</f>
        <v>Z960</v>
      </c>
      <c r="H358" s="87">
        <f>Master!B526</f>
        <v>0</v>
      </c>
    </row>
    <row r="359" spans="2:8" x14ac:dyDescent="0.2">
      <c r="B359" s="33">
        <v>13</v>
      </c>
      <c r="C359" s="34" t="str">
        <f>Master!A511</f>
        <v>Z945</v>
      </c>
      <c r="D359" s="86">
        <f>Master!B511</f>
        <v>0</v>
      </c>
      <c r="E359" s="23"/>
      <c r="F359" s="33">
        <v>13</v>
      </c>
      <c r="G359" s="34" t="str">
        <f>Master!A527</f>
        <v>Z961</v>
      </c>
      <c r="H359" s="86">
        <f>Master!B527</f>
        <v>0</v>
      </c>
    </row>
    <row r="360" spans="2:8" x14ac:dyDescent="0.2">
      <c r="B360" s="30">
        <v>14</v>
      </c>
      <c r="C360" s="31" t="str">
        <f>Master!A512</f>
        <v>Z946</v>
      </c>
      <c r="D360" s="87">
        <f>Master!B512</f>
        <v>0</v>
      </c>
      <c r="E360" s="23"/>
      <c r="F360" s="30">
        <v>14</v>
      </c>
      <c r="G360" s="31" t="str">
        <f>Master!A528</f>
        <v>Z962</v>
      </c>
      <c r="H360" s="87">
        <f>Master!B528</f>
        <v>0</v>
      </c>
    </row>
    <row r="361" spans="2:8" x14ac:dyDescent="0.2">
      <c r="B361" s="33">
        <v>15</v>
      </c>
      <c r="C361" s="34" t="str">
        <f>Master!A513</f>
        <v>Z947</v>
      </c>
      <c r="D361" s="86" t="str">
        <f>Master!B513</f>
        <v>PS-27: A/C LOSS</v>
      </c>
      <c r="E361" s="23"/>
      <c r="F361" s="33">
        <v>15</v>
      </c>
      <c r="G361" s="34" t="str">
        <f>Master!A529</f>
        <v>Z963</v>
      </c>
      <c r="H361" s="86" t="str">
        <f>Master!B529</f>
        <v>PS-28: A/C LOSS</v>
      </c>
    </row>
    <row r="362" spans="2:8" ht="16" customHeight="1" thickBot="1" x14ac:dyDescent="0.25">
      <c r="B362" s="35">
        <v>16</v>
      </c>
      <c r="C362" s="36" t="str">
        <f>Master!A514</f>
        <v>Z948</v>
      </c>
      <c r="D362" s="88" t="str">
        <f>Master!B514</f>
        <v>PS-27: BATT. TRBL.</v>
      </c>
      <c r="E362" s="23"/>
      <c r="F362" s="35">
        <v>16</v>
      </c>
      <c r="G362" s="36" t="str">
        <f>Master!A530</f>
        <v>Z964</v>
      </c>
      <c r="H362" s="88" t="str">
        <f>Master!B530</f>
        <v>PS-28: BATT. TRBL.</v>
      </c>
    </row>
    <row r="364" spans="2:8" ht="16" customHeight="1" thickBot="1" x14ac:dyDescent="0.25"/>
    <row r="365" spans="2:8" ht="19" customHeight="1" x14ac:dyDescent="0.2">
      <c r="B365" s="130" t="str">
        <f>Header!B3</f>
        <v>[SCHOOL NAME]</v>
      </c>
      <c r="C365" s="119"/>
      <c r="D365" s="131"/>
      <c r="E365" s="23"/>
      <c r="F365" s="130" t="str">
        <f>Header!B3</f>
        <v>[SCHOOL NAME]</v>
      </c>
      <c r="G365" s="119"/>
      <c r="H365" s="131"/>
    </row>
    <row r="366" spans="2:8" ht="19" customHeight="1" x14ac:dyDescent="0.2">
      <c r="B366" s="134" t="str">
        <f>Header!B4</f>
        <v>[ADDRESS]</v>
      </c>
      <c r="C366" s="107"/>
      <c r="D366" s="135"/>
      <c r="E366" s="23"/>
      <c r="F366" s="134" t="str">
        <f>Header!B4</f>
        <v>[ADDRESS]</v>
      </c>
      <c r="G366" s="107"/>
      <c r="H366" s="135"/>
    </row>
    <row r="367" spans="2:8" ht="19" x14ac:dyDescent="0.2">
      <c r="B367" s="134" t="str">
        <f>Header!B5</f>
        <v>[CITY, STATE ZIP]</v>
      </c>
      <c r="C367" s="107"/>
      <c r="D367" s="135"/>
      <c r="E367" s="23"/>
      <c r="F367" s="134" t="str">
        <f>Header!B5</f>
        <v>[CITY, STATE ZIP]</v>
      </c>
      <c r="G367" s="107"/>
      <c r="H367" s="135"/>
    </row>
    <row r="368" spans="2:8" x14ac:dyDescent="0.2">
      <c r="B368" s="24"/>
      <c r="C368" s="25"/>
      <c r="D368" s="84"/>
      <c r="E368" s="23"/>
      <c r="F368" s="24"/>
      <c r="G368" s="25"/>
      <c r="H368" s="26"/>
    </row>
    <row r="369" spans="2:8" ht="17" customHeight="1" thickBot="1" x14ac:dyDescent="0.25">
      <c r="B369" s="132"/>
      <c r="C369" s="104"/>
      <c r="D369" s="133"/>
      <c r="E369" s="23"/>
      <c r="F369" s="132"/>
      <c r="G369" s="104"/>
      <c r="H369" s="133"/>
    </row>
    <row r="370" spans="2:8" ht="17" customHeight="1" thickBot="1" x14ac:dyDescent="0.25">
      <c r="B370" s="127">
        <f>Master!C587</f>
        <v>0</v>
      </c>
      <c r="C370" s="128"/>
      <c r="D370" s="129"/>
      <c r="E370" s="23"/>
      <c r="F370" s="127">
        <f>Master!C603</f>
        <v>0</v>
      </c>
      <c r="G370" s="128"/>
      <c r="H370" s="129"/>
    </row>
    <row r="371" spans="2:8" ht="17" customHeight="1" thickBot="1" x14ac:dyDescent="0.25">
      <c r="B371" s="27" t="s">
        <v>0</v>
      </c>
      <c r="C371" s="28" t="s">
        <v>1</v>
      </c>
      <c r="D371" s="29" t="s">
        <v>2</v>
      </c>
      <c r="E371" s="23"/>
      <c r="F371" s="27" t="s">
        <v>0</v>
      </c>
      <c r="G371" s="28" t="s">
        <v>1</v>
      </c>
      <c r="H371" s="29" t="s">
        <v>2</v>
      </c>
    </row>
    <row r="372" spans="2:8" ht="16" customHeight="1" x14ac:dyDescent="0.2">
      <c r="B372" s="30" t="s">
        <v>3</v>
      </c>
      <c r="C372" s="31" t="s">
        <v>4</v>
      </c>
      <c r="D372" s="32" t="s">
        <v>5</v>
      </c>
      <c r="E372" s="23"/>
      <c r="F372" s="30" t="s">
        <v>3</v>
      </c>
      <c r="G372" s="31" t="s">
        <v>4</v>
      </c>
      <c r="H372" s="32" t="s">
        <v>5</v>
      </c>
    </row>
    <row r="373" spans="2:8" x14ac:dyDescent="0.2">
      <c r="B373" s="33">
        <v>1</v>
      </c>
      <c r="C373" s="34" t="str">
        <f>Master!A531</f>
        <v>Z965</v>
      </c>
      <c r="D373" s="86">
        <f>Master!B531</f>
        <v>0</v>
      </c>
      <c r="E373" s="23"/>
      <c r="F373" s="33">
        <v>1</v>
      </c>
      <c r="G373" s="34" t="str">
        <f>Master!A547</f>
        <v>Z981</v>
      </c>
      <c r="H373" s="86">
        <f>Master!B547</f>
        <v>0</v>
      </c>
    </row>
    <row r="374" spans="2:8" x14ac:dyDescent="0.2">
      <c r="B374" s="30">
        <v>2</v>
      </c>
      <c r="C374" s="31" t="str">
        <f>Master!A532</f>
        <v>Z966</v>
      </c>
      <c r="D374" s="87">
        <f>Master!B532</f>
        <v>0</v>
      </c>
      <c r="E374" s="23"/>
      <c r="F374" s="30">
        <v>2</v>
      </c>
      <c r="G374" s="31" t="str">
        <f>Master!A548</f>
        <v>Z982</v>
      </c>
      <c r="H374" s="87">
        <f>Master!B548</f>
        <v>0</v>
      </c>
    </row>
    <row r="375" spans="2:8" x14ac:dyDescent="0.2">
      <c r="B375" s="33">
        <v>3</v>
      </c>
      <c r="C375" s="34" t="str">
        <f>Master!A533</f>
        <v>Z967</v>
      </c>
      <c r="D375" s="86">
        <f>Master!B533</f>
        <v>0</v>
      </c>
      <c r="E375" s="23"/>
      <c r="F375" s="33">
        <v>3</v>
      </c>
      <c r="G375" s="34" t="str">
        <f>Master!A549</f>
        <v>Z983</v>
      </c>
      <c r="H375" s="86">
        <f>Master!B549</f>
        <v>0</v>
      </c>
    </row>
    <row r="376" spans="2:8" x14ac:dyDescent="0.2">
      <c r="B376" s="30">
        <v>4</v>
      </c>
      <c r="C376" s="31" t="str">
        <f>Master!A534</f>
        <v>Z968</v>
      </c>
      <c r="D376" s="87">
        <f>Master!B534</f>
        <v>0</v>
      </c>
      <c r="E376" s="23"/>
      <c r="F376" s="30">
        <v>4</v>
      </c>
      <c r="G376" s="31" t="str">
        <f>Master!A550</f>
        <v>Z984</v>
      </c>
      <c r="H376" s="87">
        <f>Master!B550</f>
        <v>0</v>
      </c>
    </row>
    <row r="377" spans="2:8" x14ac:dyDescent="0.2">
      <c r="B377" s="33">
        <v>5</v>
      </c>
      <c r="C377" s="34" t="str">
        <f>Master!A535</f>
        <v>Z969</v>
      </c>
      <c r="D377" s="86">
        <f>Master!B535</f>
        <v>0</v>
      </c>
      <c r="E377" s="23"/>
      <c r="F377" s="33">
        <v>5</v>
      </c>
      <c r="G377" s="34" t="str">
        <f>Master!A551</f>
        <v>Z985</v>
      </c>
      <c r="H377" s="86">
        <f>Master!B551</f>
        <v>0</v>
      </c>
    </row>
    <row r="378" spans="2:8" x14ac:dyDescent="0.2">
      <c r="B378" s="30">
        <v>6</v>
      </c>
      <c r="C378" s="31" t="str">
        <f>Master!A536</f>
        <v>Z970</v>
      </c>
      <c r="D378" s="87">
        <f>Master!B536</f>
        <v>0</v>
      </c>
      <c r="E378" s="23"/>
      <c r="F378" s="30">
        <v>6</v>
      </c>
      <c r="G378" s="31" t="str">
        <f>Master!A552</f>
        <v>Z986</v>
      </c>
      <c r="H378" s="87">
        <f>Master!B552</f>
        <v>0</v>
      </c>
    </row>
    <row r="379" spans="2:8" x14ac:dyDescent="0.2">
      <c r="B379" s="33">
        <v>7</v>
      </c>
      <c r="C379" s="34" t="str">
        <f>Master!A537</f>
        <v>Z971</v>
      </c>
      <c r="D379" s="86">
        <f>Master!B537</f>
        <v>0</v>
      </c>
      <c r="E379" s="23"/>
      <c r="F379" s="33">
        <v>7</v>
      </c>
      <c r="G379" s="34" t="str">
        <f>Master!A553</f>
        <v>Z987</v>
      </c>
      <c r="H379" s="86">
        <f>Master!B553</f>
        <v>0</v>
      </c>
    </row>
    <row r="380" spans="2:8" x14ac:dyDescent="0.2">
      <c r="B380" s="30">
        <v>8</v>
      </c>
      <c r="C380" s="31" t="str">
        <f>Master!A538</f>
        <v>Z972</v>
      </c>
      <c r="D380" s="87">
        <f>Master!B538</f>
        <v>0</v>
      </c>
      <c r="E380" s="23"/>
      <c r="F380" s="30">
        <v>8</v>
      </c>
      <c r="G380" s="31" t="str">
        <f>Master!A554</f>
        <v>Z988</v>
      </c>
      <c r="H380" s="87">
        <f>Master!B554</f>
        <v>0</v>
      </c>
    </row>
    <row r="381" spans="2:8" x14ac:dyDescent="0.2">
      <c r="B381" s="33">
        <v>9</v>
      </c>
      <c r="C381" s="34" t="str">
        <f>Master!A539</f>
        <v>Z973</v>
      </c>
      <c r="D381" s="86">
        <f>Master!B539</f>
        <v>0</v>
      </c>
      <c r="E381" s="23"/>
      <c r="F381" s="33">
        <v>9</v>
      </c>
      <c r="G381" s="34" t="str">
        <f>Master!A555</f>
        <v>Z989</v>
      </c>
      <c r="H381" s="86">
        <f>Master!B555</f>
        <v>0</v>
      </c>
    </row>
    <row r="382" spans="2:8" x14ac:dyDescent="0.2">
      <c r="B382" s="30">
        <v>10</v>
      </c>
      <c r="C382" s="31" t="str">
        <f>Master!A540</f>
        <v>Z974</v>
      </c>
      <c r="D382" s="87">
        <f>Master!B540</f>
        <v>0</v>
      </c>
      <c r="E382" s="23"/>
      <c r="F382" s="30">
        <v>10</v>
      </c>
      <c r="G382" s="31" t="str">
        <f>Master!A556</f>
        <v>Z990</v>
      </c>
      <c r="H382" s="87">
        <f>Master!B556</f>
        <v>0</v>
      </c>
    </row>
    <row r="383" spans="2:8" x14ac:dyDescent="0.2">
      <c r="B383" s="33">
        <v>11</v>
      </c>
      <c r="C383" s="34" t="str">
        <f>Master!A541</f>
        <v>Z975</v>
      </c>
      <c r="D383" s="86">
        <f>Master!B541</f>
        <v>0</v>
      </c>
      <c r="E383" s="23"/>
      <c r="F383" s="33">
        <v>11</v>
      </c>
      <c r="G383" s="34" t="str">
        <f>Master!A557</f>
        <v>Z991</v>
      </c>
      <c r="H383" s="86">
        <f>Master!B557</f>
        <v>0</v>
      </c>
    </row>
    <row r="384" spans="2:8" x14ac:dyDescent="0.2">
      <c r="B384" s="30">
        <v>12</v>
      </c>
      <c r="C384" s="31" t="str">
        <f>Master!A542</f>
        <v>Z976</v>
      </c>
      <c r="D384" s="87">
        <f>Master!B542</f>
        <v>0</v>
      </c>
      <c r="E384" s="23"/>
      <c r="F384" s="30">
        <v>12</v>
      </c>
      <c r="G384" s="31" t="str">
        <f>Master!A558</f>
        <v>Z992</v>
      </c>
      <c r="H384" s="87">
        <f>Master!B558</f>
        <v>0</v>
      </c>
    </row>
    <row r="385" spans="2:8" x14ac:dyDescent="0.2">
      <c r="B385" s="33">
        <v>13</v>
      </c>
      <c r="C385" s="34" t="str">
        <f>Master!A543</f>
        <v>Z977</v>
      </c>
      <c r="D385" s="86">
        <f>Master!B543</f>
        <v>0</v>
      </c>
      <c r="E385" s="23"/>
      <c r="F385" s="33">
        <v>13</v>
      </c>
      <c r="G385" s="34" t="str">
        <f>Master!A559</f>
        <v>Z993</v>
      </c>
      <c r="H385" s="86">
        <f>Master!B559</f>
        <v>0</v>
      </c>
    </row>
    <row r="386" spans="2:8" x14ac:dyDescent="0.2">
      <c r="B386" s="30">
        <v>14</v>
      </c>
      <c r="C386" s="31" t="str">
        <f>Master!A544</f>
        <v>Z978</v>
      </c>
      <c r="D386" s="87">
        <f>Master!B544</f>
        <v>0</v>
      </c>
      <c r="E386" s="23"/>
      <c r="F386" s="30">
        <v>14</v>
      </c>
      <c r="G386" s="31" t="str">
        <f>Master!A560</f>
        <v>Z994</v>
      </c>
      <c r="H386" s="87">
        <f>Master!B560</f>
        <v>0</v>
      </c>
    </row>
    <row r="387" spans="2:8" x14ac:dyDescent="0.2">
      <c r="B387" s="33">
        <v>15</v>
      </c>
      <c r="C387" s="34" t="str">
        <f>Master!A545</f>
        <v>Z979</v>
      </c>
      <c r="D387" s="86" t="str">
        <f>Master!B545</f>
        <v>PS-29: A/C LOSS</v>
      </c>
      <c r="E387" s="23"/>
      <c r="F387" s="33">
        <v>15</v>
      </c>
      <c r="G387" s="34" t="str">
        <f>Master!A561</f>
        <v>Z995</v>
      </c>
      <c r="H387" s="86" t="str">
        <f>Master!B561</f>
        <v>PS-30: A/C LOSS</v>
      </c>
    </row>
    <row r="388" spans="2:8" ht="16" customHeight="1" thickBot="1" x14ac:dyDescent="0.25">
      <c r="B388" s="35">
        <v>16</v>
      </c>
      <c r="C388" s="36" t="str">
        <f>Master!A546</f>
        <v>Z980</v>
      </c>
      <c r="D388" s="88" t="str">
        <f>Master!B546</f>
        <v>PS-29: BATT. TRBL.</v>
      </c>
      <c r="E388" s="23"/>
      <c r="F388" s="35">
        <v>16</v>
      </c>
      <c r="G388" s="36" t="str">
        <f>Master!A562</f>
        <v>Z996</v>
      </c>
      <c r="H388" s="88" t="str">
        <f>Master!B562</f>
        <v>PS-30: BATT. TRBL.</v>
      </c>
    </row>
  </sheetData>
  <mergeCells count="150">
    <mergeCell ref="B365:D365"/>
    <mergeCell ref="F54:H54"/>
    <mergeCell ref="B29:D29"/>
    <mergeCell ref="F6:H6"/>
    <mergeCell ref="F84:H84"/>
    <mergeCell ref="F236:H236"/>
    <mergeCell ref="F214:H214"/>
    <mergeCell ref="B367:D367"/>
    <mergeCell ref="B339:D339"/>
    <mergeCell ref="F318:H318"/>
    <mergeCell ref="B288:D288"/>
    <mergeCell ref="F134:H134"/>
    <mergeCell ref="F292:H292"/>
    <mergeCell ref="F108:H108"/>
    <mergeCell ref="F344:H344"/>
    <mergeCell ref="B2:D2"/>
    <mergeCell ref="B3:D3"/>
    <mergeCell ref="B292:D292"/>
    <mergeCell ref="F137:H137"/>
    <mergeCell ref="B261:D261"/>
    <mergeCell ref="B366:D366"/>
    <mergeCell ref="B184:D184"/>
    <mergeCell ref="B236:D236"/>
    <mergeCell ref="B214:D214"/>
    <mergeCell ref="B58:D58"/>
    <mergeCell ref="F4:H4"/>
    <mergeCell ref="B237:D237"/>
    <mergeCell ref="F266:H266"/>
    <mergeCell ref="B106:D106"/>
    <mergeCell ref="B7:D7"/>
    <mergeCell ref="F162:H162"/>
    <mergeCell ref="F28:H28"/>
    <mergeCell ref="F366:H366"/>
    <mergeCell ref="B211:D211"/>
    <mergeCell ref="F184:H184"/>
    <mergeCell ref="F58:H58"/>
    <mergeCell ref="F341:H341"/>
    <mergeCell ref="F210:H210"/>
    <mergeCell ref="F186:H186"/>
    <mergeCell ref="F313:H313"/>
    <mergeCell ref="F107:H107"/>
    <mergeCell ref="F82:H82"/>
    <mergeCell ref="B212:D212"/>
    <mergeCell ref="B163:D163"/>
    <mergeCell ref="F237:H237"/>
    <mergeCell ref="F289:H289"/>
    <mergeCell ref="F212:H212"/>
    <mergeCell ref="B262:D262"/>
    <mergeCell ref="B240:D240"/>
    <mergeCell ref="B136:D136"/>
    <mergeCell ref="F340:H340"/>
    <mergeCell ref="F263:H263"/>
    <mergeCell ref="F32:H32"/>
    <mergeCell ref="F56:H56"/>
    <mergeCell ref="B55:D55"/>
    <mergeCell ref="B370:D370"/>
    <mergeCell ref="B291:D291"/>
    <mergeCell ref="B56:D56"/>
    <mergeCell ref="F365:H365"/>
    <mergeCell ref="B344:D344"/>
    <mergeCell ref="B343:D343"/>
    <mergeCell ref="B369:D369"/>
    <mergeCell ref="F367:H367"/>
    <mergeCell ref="F30:H30"/>
    <mergeCell ref="F133:H133"/>
    <mergeCell ref="F370:H370"/>
    <mergeCell ref="B313:D313"/>
    <mergeCell ref="B266:D266"/>
    <mergeCell ref="B33:D33"/>
    <mergeCell ref="B340:D340"/>
    <mergeCell ref="B32:D32"/>
    <mergeCell ref="B315:D315"/>
    <mergeCell ref="F369:H369"/>
    <mergeCell ref="F80:H80"/>
    <mergeCell ref="B132:D132"/>
    <mergeCell ref="F287:H287"/>
    <mergeCell ref="F188:H188"/>
    <mergeCell ref="F262:H262"/>
    <mergeCell ref="F215:H215"/>
    <mergeCell ref="B80:D80"/>
    <mergeCell ref="F136:H136"/>
    <mergeCell ref="B265:D265"/>
    <mergeCell ref="B160:D160"/>
    <mergeCell ref="F315:H315"/>
    <mergeCell ref="F159:H159"/>
    <mergeCell ref="F106:H106"/>
    <mergeCell ref="F185:H185"/>
    <mergeCell ref="B314:D314"/>
    <mergeCell ref="F81:H81"/>
    <mergeCell ref="B81:D81"/>
    <mergeCell ref="F163:H163"/>
    <mergeCell ref="B82:D82"/>
    <mergeCell ref="B162:D162"/>
    <mergeCell ref="F291:H291"/>
    <mergeCell ref="B137:D137"/>
    <mergeCell ref="B317:D317"/>
    <mergeCell ref="F211:H211"/>
    <mergeCell ref="B239:D239"/>
    <mergeCell ref="F261:H261"/>
    <mergeCell ref="B189:D189"/>
    <mergeCell ref="B110:D110"/>
    <mergeCell ref="B85:D85"/>
    <mergeCell ref="F343:H343"/>
    <mergeCell ref="B54:D54"/>
    <mergeCell ref="F265:H265"/>
    <mergeCell ref="F314:H314"/>
    <mergeCell ref="B185:D185"/>
    <mergeCell ref="B159:D159"/>
    <mergeCell ref="B134:D134"/>
    <mergeCell ref="F132:H132"/>
    <mergeCell ref="B188:D188"/>
    <mergeCell ref="B59:D59"/>
    <mergeCell ref="F339:H339"/>
    <mergeCell ref="B215:D215"/>
    <mergeCell ref="F158:H158"/>
    <mergeCell ref="B263:D263"/>
    <mergeCell ref="F59:H59"/>
    <mergeCell ref="F55:H55"/>
    <mergeCell ref="B287:D287"/>
    <mergeCell ref="B318:D318"/>
    <mergeCell ref="F189:H189"/>
    <mergeCell ref="F110:H110"/>
    <mergeCell ref="F85:H85"/>
    <mergeCell ref="B341:D341"/>
    <mergeCell ref="B210:D210"/>
    <mergeCell ref="B111:D111"/>
    <mergeCell ref="F2:H2"/>
    <mergeCell ref="B289:D289"/>
    <mergeCell ref="F240:H240"/>
    <mergeCell ref="B28:D28"/>
    <mergeCell ref="B108:D108"/>
    <mergeCell ref="B186:D186"/>
    <mergeCell ref="F317:H317"/>
    <mergeCell ref="B84:D84"/>
    <mergeCell ref="F111:H111"/>
    <mergeCell ref="B30:D30"/>
    <mergeCell ref="B158:D158"/>
    <mergeCell ref="F239:H239"/>
    <mergeCell ref="B6:D6"/>
    <mergeCell ref="B133:D133"/>
    <mergeCell ref="F288:H288"/>
    <mergeCell ref="F3:H3"/>
    <mergeCell ref="B235:D235"/>
    <mergeCell ref="F160:H160"/>
    <mergeCell ref="B4:D4"/>
    <mergeCell ref="F29:H29"/>
    <mergeCell ref="F33:H33"/>
    <mergeCell ref="F7:H7"/>
    <mergeCell ref="F235:H235"/>
    <mergeCell ref="B107:D107"/>
  </mergeCells>
  <pageMargins left="0.25" right="0.25" top="0.75" bottom="0.75" header="0.3" footer="0.3"/>
  <pageSetup scale="29" fitToHeight="2" orientation="landscape"/>
  <drawing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>
    <tabColor rgb="FFC00000"/>
    <pageSetUpPr fitToPage="1"/>
  </sheetPr>
  <dimension ref="B1:F181"/>
  <sheetViews>
    <sheetView topLeftCell="A107" zoomScale="83" zoomScaleNormal="83" workbookViewId="0">
      <selection activeCell="I103" sqref="I103"/>
    </sheetView>
  </sheetViews>
  <sheetFormatPr baseColWidth="10" defaultColWidth="8.6640625" defaultRowHeight="15" x14ac:dyDescent="0.2"/>
  <cols>
    <col min="1" max="1" width="2.5" customWidth="1"/>
    <col min="2" max="2" width="41.33203125" customWidth="1"/>
    <col min="3" max="3" width="55.33203125" customWidth="1"/>
    <col min="5" max="5" width="41.33203125" customWidth="1"/>
    <col min="6" max="6" width="55.33203125" customWidth="1"/>
  </cols>
  <sheetData>
    <row r="1" spans="2:6" ht="16" customHeight="1" thickBot="1" x14ac:dyDescent="0.25"/>
    <row r="2" spans="2:6" ht="19" customHeight="1" x14ac:dyDescent="0.2">
      <c r="B2" s="115" t="str">
        <f>Header!B3</f>
        <v>[SCHOOL NAME]</v>
      </c>
      <c r="C2" s="116"/>
      <c r="E2" s="115" t="str">
        <f>Header!B3</f>
        <v>[SCHOOL NAME]</v>
      </c>
      <c r="F2" s="116"/>
    </row>
    <row r="3" spans="2:6" ht="19" customHeight="1" x14ac:dyDescent="0.2">
      <c r="B3" s="117" t="str">
        <f>Header!B4</f>
        <v>[ADDRESS]</v>
      </c>
      <c r="C3" s="118"/>
      <c r="E3" s="117" t="str">
        <f>Header!B4</f>
        <v>[ADDRESS]</v>
      </c>
      <c r="F3" s="118"/>
    </row>
    <row r="4" spans="2:6" ht="19" customHeight="1" x14ac:dyDescent="0.2">
      <c r="B4" s="117" t="str">
        <f>Header!B5</f>
        <v>[CITY, STATE ZIP]</v>
      </c>
      <c r="C4" s="118"/>
      <c r="E4" s="117" t="str">
        <f>Header!B5</f>
        <v>[CITY, STATE ZIP]</v>
      </c>
      <c r="F4" s="118"/>
    </row>
    <row r="5" spans="2:6" x14ac:dyDescent="0.2">
      <c r="B5" s="4"/>
      <c r="C5" s="6"/>
      <c r="E5" s="4"/>
      <c r="F5" s="6"/>
    </row>
    <row r="6" spans="2:6" ht="17" customHeight="1" thickBot="1" x14ac:dyDescent="0.25">
      <c r="B6" s="114"/>
      <c r="C6" s="105"/>
      <c r="E6" s="114"/>
      <c r="F6" s="105"/>
    </row>
    <row r="7" spans="2:6" ht="17" customHeight="1" thickBot="1" x14ac:dyDescent="0.25">
      <c r="B7" s="103">
        <f>Master!C81</f>
        <v>0</v>
      </c>
      <c r="C7" s="105"/>
      <c r="E7" s="103">
        <f>Master!C97</f>
        <v>0</v>
      </c>
      <c r="F7" s="105"/>
    </row>
    <row r="8" spans="2:6" ht="27" customHeight="1" thickBot="1" x14ac:dyDescent="0.25">
      <c r="B8" s="7" t="s">
        <v>0</v>
      </c>
      <c r="C8" s="1" t="s">
        <v>2</v>
      </c>
      <c r="E8" s="7" t="s">
        <v>0</v>
      </c>
      <c r="F8" s="1" t="s">
        <v>2</v>
      </c>
    </row>
    <row r="9" spans="2:6" ht="60" customHeight="1" x14ac:dyDescent="0.2">
      <c r="B9" s="5" t="s">
        <v>701</v>
      </c>
      <c r="C9" s="8" t="str">
        <f>"RSP-1 "&amp;Master!A81</f>
        <v>RSP-1 Z515</v>
      </c>
      <c r="E9" s="5" t="s">
        <v>701</v>
      </c>
      <c r="F9" s="8" t="str">
        <f>"RSP-2 "&amp;Master!A97</f>
        <v>RSP-2 Z531</v>
      </c>
    </row>
    <row r="10" spans="2:6" ht="60" customHeight="1" x14ac:dyDescent="0.2">
      <c r="B10" s="5" t="s">
        <v>702</v>
      </c>
      <c r="C10" s="8" t="str">
        <f>"RSP-1 "&amp;Master!A82</f>
        <v>RSP-1 Z516</v>
      </c>
      <c r="E10" s="5" t="s">
        <v>702</v>
      </c>
      <c r="F10" s="8" t="str">
        <f>"RSP-2 "&amp;Master!A98</f>
        <v>RSP-2 Z532</v>
      </c>
    </row>
    <row r="11" spans="2:6" ht="60" customHeight="1" x14ac:dyDescent="0.2">
      <c r="B11" s="5" t="s">
        <v>703</v>
      </c>
      <c r="C11" s="9" t="s">
        <v>704</v>
      </c>
      <c r="E11" s="5" t="s">
        <v>703</v>
      </c>
      <c r="F11" s="9" t="s">
        <v>704</v>
      </c>
    </row>
    <row r="12" spans="2:6" ht="65.75" customHeight="1" x14ac:dyDescent="0.2">
      <c r="B12" s="5" t="s">
        <v>15</v>
      </c>
      <c r="C12" s="8" t="s">
        <v>705</v>
      </c>
      <c r="E12" s="5" t="s">
        <v>15</v>
      </c>
      <c r="F12" s="8" t="s">
        <v>705</v>
      </c>
    </row>
    <row r="13" spans="2:6" ht="16" customHeight="1" thickBot="1" x14ac:dyDescent="0.25"/>
    <row r="14" spans="2:6" ht="19" customHeight="1" x14ac:dyDescent="0.2">
      <c r="B14" s="115" t="str">
        <f>Header!B3</f>
        <v>[SCHOOL NAME]</v>
      </c>
      <c r="C14" s="116"/>
      <c r="E14" s="115" t="str">
        <f>Header!B3</f>
        <v>[SCHOOL NAME]</v>
      </c>
      <c r="F14" s="116"/>
    </row>
    <row r="15" spans="2:6" ht="19" customHeight="1" x14ac:dyDescent="0.2">
      <c r="B15" s="117" t="str">
        <f>Header!B4</f>
        <v>[ADDRESS]</v>
      </c>
      <c r="C15" s="118"/>
      <c r="E15" s="117" t="str">
        <f>Header!B4</f>
        <v>[ADDRESS]</v>
      </c>
      <c r="F15" s="118"/>
    </row>
    <row r="16" spans="2:6" ht="19" customHeight="1" x14ac:dyDescent="0.2">
      <c r="B16" s="117" t="str">
        <f>Header!B5</f>
        <v>[CITY, STATE ZIP]</v>
      </c>
      <c r="C16" s="118"/>
      <c r="E16" s="117" t="str">
        <f>Header!B5</f>
        <v>[CITY, STATE ZIP]</v>
      </c>
      <c r="F16" s="118"/>
    </row>
    <row r="17" spans="2:6" x14ac:dyDescent="0.2">
      <c r="B17" s="4"/>
      <c r="C17" s="6"/>
      <c r="E17" s="4"/>
      <c r="F17" s="6"/>
    </row>
    <row r="18" spans="2:6" ht="17" customHeight="1" thickBot="1" x14ac:dyDescent="0.25">
      <c r="B18" s="114"/>
      <c r="C18" s="105"/>
      <c r="E18" s="114"/>
      <c r="F18" s="105"/>
    </row>
    <row r="19" spans="2:6" ht="17" customHeight="1" thickBot="1" x14ac:dyDescent="0.25">
      <c r="B19" s="103">
        <f>Master!C113</f>
        <v>0</v>
      </c>
      <c r="C19" s="105"/>
      <c r="E19" s="103">
        <f>Master!C129</f>
        <v>0</v>
      </c>
      <c r="F19" s="105"/>
    </row>
    <row r="20" spans="2:6" ht="27" customHeight="1" thickBot="1" x14ac:dyDescent="0.25">
      <c r="B20" s="7" t="s">
        <v>0</v>
      </c>
      <c r="C20" s="1" t="s">
        <v>2</v>
      </c>
      <c r="E20" s="7" t="s">
        <v>0</v>
      </c>
      <c r="F20" s="1" t="s">
        <v>2</v>
      </c>
    </row>
    <row r="21" spans="2:6" ht="60" customHeight="1" x14ac:dyDescent="0.2">
      <c r="B21" s="5" t="s">
        <v>701</v>
      </c>
      <c r="C21" s="8" t="str">
        <f>"RSP-3 "&amp;Master!A113</f>
        <v>RSP-3 Z547</v>
      </c>
      <c r="E21" s="5" t="s">
        <v>701</v>
      </c>
      <c r="F21" s="8" t="str">
        <f>"RSP-4 "&amp;Master!A129</f>
        <v>RSP-4 Z563</v>
      </c>
    </row>
    <row r="22" spans="2:6" ht="60" customHeight="1" x14ac:dyDescent="0.2">
      <c r="B22" s="5" t="s">
        <v>702</v>
      </c>
      <c r="C22" s="8" t="str">
        <f>"RSP-3 "&amp;Master!A114</f>
        <v>RSP-3 Z548</v>
      </c>
      <c r="E22" s="5" t="s">
        <v>702</v>
      </c>
      <c r="F22" s="8" t="str">
        <f>"RSP-4 "&amp;Master!A130</f>
        <v>RSP-4 Z564</v>
      </c>
    </row>
    <row r="23" spans="2:6" ht="60" customHeight="1" x14ac:dyDescent="0.2">
      <c r="B23" s="5" t="s">
        <v>703</v>
      </c>
      <c r="C23" s="9" t="s">
        <v>704</v>
      </c>
      <c r="E23" s="5" t="s">
        <v>703</v>
      </c>
      <c r="F23" s="9" t="s">
        <v>704</v>
      </c>
    </row>
    <row r="24" spans="2:6" ht="65.75" customHeight="1" x14ac:dyDescent="0.2">
      <c r="B24" s="5" t="s">
        <v>15</v>
      </c>
      <c r="C24" s="8" t="s">
        <v>705</v>
      </c>
      <c r="E24" s="5" t="s">
        <v>15</v>
      </c>
      <c r="F24" s="8" t="s">
        <v>705</v>
      </c>
    </row>
    <row r="25" spans="2:6" ht="16" customHeight="1" thickBot="1" x14ac:dyDescent="0.25"/>
    <row r="26" spans="2:6" ht="19" customHeight="1" x14ac:dyDescent="0.2">
      <c r="B26" s="115" t="str">
        <f>Header!B3</f>
        <v>[SCHOOL NAME]</v>
      </c>
      <c r="C26" s="116"/>
      <c r="E26" s="115" t="str">
        <f>Header!B3</f>
        <v>[SCHOOL NAME]</v>
      </c>
      <c r="F26" s="116"/>
    </row>
    <row r="27" spans="2:6" ht="19" customHeight="1" x14ac:dyDescent="0.2">
      <c r="B27" s="117" t="str">
        <f>Header!B4</f>
        <v>[ADDRESS]</v>
      </c>
      <c r="C27" s="118"/>
      <c r="E27" s="117" t="str">
        <f>Header!B4</f>
        <v>[ADDRESS]</v>
      </c>
      <c r="F27" s="118"/>
    </row>
    <row r="28" spans="2:6" ht="19" customHeight="1" x14ac:dyDescent="0.2">
      <c r="B28" s="117" t="str">
        <f>Header!B5</f>
        <v>[CITY, STATE ZIP]</v>
      </c>
      <c r="C28" s="118"/>
      <c r="E28" s="117" t="str">
        <f>Header!B5</f>
        <v>[CITY, STATE ZIP]</v>
      </c>
      <c r="F28" s="118"/>
    </row>
    <row r="29" spans="2:6" x14ac:dyDescent="0.2">
      <c r="B29" s="4"/>
      <c r="C29" s="6"/>
      <c r="E29" s="4"/>
      <c r="F29" s="6"/>
    </row>
    <row r="30" spans="2:6" ht="17" customHeight="1" thickBot="1" x14ac:dyDescent="0.25">
      <c r="B30" s="114"/>
      <c r="C30" s="105"/>
      <c r="E30" s="114"/>
      <c r="F30" s="105"/>
    </row>
    <row r="31" spans="2:6" ht="17" customHeight="1" thickBot="1" x14ac:dyDescent="0.25">
      <c r="B31" s="103">
        <f>Master!C145</f>
        <v>0</v>
      </c>
      <c r="C31" s="105"/>
      <c r="E31" s="103">
        <f>Master!C161</f>
        <v>0</v>
      </c>
      <c r="F31" s="105"/>
    </row>
    <row r="32" spans="2:6" ht="27" customHeight="1" thickBot="1" x14ac:dyDescent="0.25">
      <c r="B32" s="7" t="s">
        <v>0</v>
      </c>
      <c r="C32" s="1" t="s">
        <v>2</v>
      </c>
      <c r="E32" s="7" t="s">
        <v>0</v>
      </c>
      <c r="F32" s="1" t="s">
        <v>2</v>
      </c>
    </row>
    <row r="33" spans="2:6" ht="60" customHeight="1" x14ac:dyDescent="0.2">
      <c r="B33" s="5" t="s">
        <v>701</v>
      </c>
      <c r="C33" s="8" t="str">
        <f>"RSP-5 "&amp;Master!A145</f>
        <v>RSP-5 Z579</v>
      </c>
      <c r="E33" s="5" t="s">
        <v>701</v>
      </c>
      <c r="F33" s="8" t="str">
        <f>"RSP-6 "&amp;Master!A161</f>
        <v>RSP-6 Z595</v>
      </c>
    </row>
    <row r="34" spans="2:6" ht="60" customHeight="1" x14ac:dyDescent="0.2">
      <c r="B34" s="5" t="s">
        <v>702</v>
      </c>
      <c r="C34" s="8" t="str">
        <f>"RSP-5 "&amp;Master!A146</f>
        <v>RSP-5 Z580</v>
      </c>
      <c r="E34" s="5" t="s">
        <v>702</v>
      </c>
      <c r="F34" s="8" t="str">
        <f>"RSP-6 "&amp;Master!A162</f>
        <v>RSP-6 Z596</v>
      </c>
    </row>
    <row r="35" spans="2:6" ht="60" customHeight="1" x14ac:dyDescent="0.2">
      <c r="B35" s="5" t="s">
        <v>703</v>
      </c>
      <c r="C35" s="9" t="s">
        <v>704</v>
      </c>
      <c r="E35" s="5" t="s">
        <v>703</v>
      </c>
      <c r="F35" s="9" t="s">
        <v>704</v>
      </c>
    </row>
    <row r="36" spans="2:6" ht="65.75" customHeight="1" x14ac:dyDescent="0.2">
      <c r="B36" s="5" t="s">
        <v>15</v>
      </c>
      <c r="C36" s="8" t="s">
        <v>705</v>
      </c>
      <c r="E36" s="5" t="s">
        <v>15</v>
      </c>
      <c r="F36" s="8" t="s">
        <v>705</v>
      </c>
    </row>
    <row r="37" spans="2:6" ht="16" customHeight="1" thickBot="1" x14ac:dyDescent="0.25"/>
    <row r="38" spans="2:6" ht="19" customHeight="1" x14ac:dyDescent="0.2">
      <c r="B38" s="115" t="str">
        <f>Header!B3</f>
        <v>[SCHOOL NAME]</v>
      </c>
      <c r="C38" s="116"/>
      <c r="E38" s="115" t="str">
        <f>Header!B3</f>
        <v>[SCHOOL NAME]</v>
      </c>
      <c r="F38" s="116"/>
    </row>
    <row r="39" spans="2:6" ht="19" customHeight="1" x14ac:dyDescent="0.2">
      <c r="B39" s="117" t="str">
        <f>Header!B4</f>
        <v>[ADDRESS]</v>
      </c>
      <c r="C39" s="118"/>
      <c r="E39" s="117" t="str">
        <f>Header!B4</f>
        <v>[ADDRESS]</v>
      </c>
      <c r="F39" s="118"/>
    </row>
    <row r="40" spans="2:6" ht="19" customHeight="1" x14ac:dyDescent="0.2">
      <c r="B40" s="117" t="str">
        <f>Header!B5</f>
        <v>[CITY, STATE ZIP]</v>
      </c>
      <c r="C40" s="118"/>
      <c r="E40" s="117" t="str">
        <f>Header!B5</f>
        <v>[CITY, STATE ZIP]</v>
      </c>
      <c r="F40" s="118"/>
    </row>
    <row r="41" spans="2:6" x14ac:dyDescent="0.2">
      <c r="B41" s="4"/>
      <c r="C41" s="6"/>
      <c r="E41" s="4"/>
      <c r="F41" s="6"/>
    </row>
    <row r="42" spans="2:6" ht="17" customHeight="1" thickBot="1" x14ac:dyDescent="0.25">
      <c r="B42" s="114"/>
      <c r="C42" s="105"/>
      <c r="E42" s="114"/>
      <c r="F42" s="105"/>
    </row>
    <row r="43" spans="2:6" ht="17" customHeight="1" thickBot="1" x14ac:dyDescent="0.25">
      <c r="B43" s="103">
        <f>Master!C181</f>
        <v>0</v>
      </c>
      <c r="C43" s="105"/>
      <c r="E43" s="103">
        <f>Master!C197</f>
        <v>0</v>
      </c>
      <c r="F43" s="105"/>
    </row>
    <row r="44" spans="2:6" ht="27" customHeight="1" thickBot="1" x14ac:dyDescent="0.25">
      <c r="B44" s="7" t="s">
        <v>0</v>
      </c>
      <c r="C44" s="1" t="s">
        <v>2</v>
      </c>
      <c r="E44" s="7" t="s">
        <v>0</v>
      </c>
      <c r="F44" s="1" t="s">
        <v>2</v>
      </c>
    </row>
    <row r="45" spans="2:6" ht="60" customHeight="1" x14ac:dyDescent="0.2">
      <c r="B45" s="5" t="s">
        <v>701</v>
      </c>
      <c r="C45" s="8" t="str">
        <f>"RSP-7 "&amp;Master!A181</f>
        <v>RSP-7 Z615</v>
      </c>
      <c r="E45" s="5" t="s">
        <v>701</v>
      </c>
      <c r="F45" s="8" t="str">
        <f>"RSP-8 "&amp;Master!A197</f>
        <v>RSP-8 Z631</v>
      </c>
    </row>
    <row r="46" spans="2:6" ht="60" customHeight="1" x14ac:dyDescent="0.2">
      <c r="B46" s="5" t="s">
        <v>702</v>
      </c>
      <c r="C46" s="8" t="str">
        <f>"RSP-7 "&amp;Master!A182</f>
        <v>RSP-7 Z616</v>
      </c>
      <c r="E46" s="5" t="s">
        <v>702</v>
      </c>
      <c r="F46" s="8" t="str">
        <f>"RSP-8 "&amp;Master!A198</f>
        <v>RSP-8 Z632</v>
      </c>
    </row>
    <row r="47" spans="2:6" ht="60" customHeight="1" x14ac:dyDescent="0.2">
      <c r="B47" s="5" t="s">
        <v>703</v>
      </c>
      <c r="C47" s="9" t="s">
        <v>704</v>
      </c>
      <c r="E47" s="5" t="s">
        <v>703</v>
      </c>
      <c r="F47" s="9" t="s">
        <v>704</v>
      </c>
    </row>
    <row r="48" spans="2:6" ht="65.75" customHeight="1" x14ac:dyDescent="0.2">
      <c r="B48" s="5" t="s">
        <v>15</v>
      </c>
      <c r="C48" s="8" t="s">
        <v>705</v>
      </c>
      <c r="E48" s="5" t="s">
        <v>15</v>
      </c>
      <c r="F48" s="8" t="s">
        <v>705</v>
      </c>
    </row>
    <row r="49" spans="2:6" ht="16" customHeight="1" thickBot="1" x14ac:dyDescent="0.25"/>
    <row r="50" spans="2:6" ht="19" customHeight="1" x14ac:dyDescent="0.2">
      <c r="B50" s="115" t="str">
        <f>Header!B3</f>
        <v>[SCHOOL NAME]</v>
      </c>
      <c r="C50" s="116"/>
      <c r="E50" s="115" t="str">
        <f>Header!B3</f>
        <v>[SCHOOL NAME]</v>
      </c>
      <c r="F50" s="116"/>
    </row>
    <row r="51" spans="2:6" ht="19" customHeight="1" x14ac:dyDescent="0.2">
      <c r="B51" s="117" t="str">
        <f>Header!B4</f>
        <v>[ADDRESS]</v>
      </c>
      <c r="C51" s="118"/>
      <c r="E51" s="117" t="str">
        <f>Header!B4</f>
        <v>[ADDRESS]</v>
      </c>
      <c r="F51" s="118"/>
    </row>
    <row r="52" spans="2:6" ht="19" customHeight="1" x14ac:dyDescent="0.2">
      <c r="B52" s="117" t="str">
        <f>Header!B5</f>
        <v>[CITY, STATE ZIP]</v>
      </c>
      <c r="C52" s="118"/>
      <c r="E52" s="117" t="str">
        <f>Header!B5</f>
        <v>[CITY, STATE ZIP]</v>
      </c>
      <c r="F52" s="118"/>
    </row>
    <row r="53" spans="2:6" x14ac:dyDescent="0.2">
      <c r="B53" s="4"/>
      <c r="C53" s="6"/>
      <c r="E53" s="4"/>
      <c r="F53" s="6"/>
    </row>
    <row r="54" spans="2:6" ht="17" customHeight="1" thickBot="1" x14ac:dyDescent="0.25">
      <c r="B54" s="114"/>
      <c r="C54" s="105"/>
      <c r="E54" s="114"/>
      <c r="F54" s="105"/>
    </row>
    <row r="55" spans="2:6" ht="17" customHeight="1" thickBot="1" x14ac:dyDescent="0.25">
      <c r="B55" s="103">
        <f>Master!C213</f>
        <v>0</v>
      </c>
      <c r="C55" s="105"/>
      <c r="E55" s="103">
        <f>Master!C229</f>
        <v>0</v>
      </c>
      <c r="F55" s="105"/>
    </row>
    <row r="56" spans="2:6" ht="27" customHeight="1" thickBot="1" x14ac:dyDescent="0.25">
      <c r="B56" s="7" t="s">
        <v>0</v>
      </c>
      <c r="C56" s="1" t="s">
        <v>2</v>
      </c>
      <c r="E56" s="7" t="s">
        <v>0</v>
      </c>
      <c r="F56" s="1" t="s">
        <v>2</v>
      </c>
    </row>
    <row r="57" spans="2:6" ht="60" customHeight="1" x14ac:dyDescent="0.2">
      <c r="B57" s="5" t="s">
        <v>701</v>
      </c>
      <c r="C57" s="8" t="str">
        <f>"RSP-9 "&amp;Master!A213</f>
        <v>RSP-9 Z647</v>
      </c>
      <c r="E57" s="5" t="s">
        <v>701</v>
      </c>
      <c r="F57" s="8" t="str">
        <f>"RSP-10 "&amp;Master!A229</f>
        <v>RSP-10 Z663</v>
      </c>
    </row>
    <row r="58" spans="2:6" ht="60" customHeight="1" x14ac:dyDescent="0.2">
      <c r="B58" s="5" t="s">
        <v>702</v>
      </c>
      <c r="C58" s="8" t="str">
        <f>"RSP-9 "&amp;Master!A214</f>
        <v>RSP-9 Z648</v>
      </c>
      <c r="E58" s="5" t="s">
        <v>702</v>
      </c>
      <c r="F58" s="8" t="str">
        <f>"RSP-10 "&amp;Master!A230</f>
        <v>RSP-10 Z664</v>
      </c>
    </row>
    <row r="59" spans="2:6" ht="60" customHeight="1" x14ac:dyDescent="0.2">
      <c r="B59" s="5" t="s">
        <v>703</v>
      </c>
      <c r="C59" s="9" t="s">
        <v>704</v>
      </c>
      <c r="E59" s="5" t="s">
        <v>703</v>
      </c>
      <c r="F59" s="9" t="s">
        <v>704</v>
      </c>
    </row>
    <row r="60" spans="2:6" ht="65.75" customHeight="1" x14ac:dyDescent="0.2">
      <c r="B60" s="5" t="s">
        <v>15</v>
      </c>
      <c r="C60" s="8" t="s">
        <v>705</v>
      </c>
      <c r="E60" s="5" t="s">
        <v>15</v>
      </c>
      <c r="F60" s="8" t="s">
        <v>705</v>
      </c>
    </row>
    <row r="61" spans="2:6" ht="16" customHeight="1" thickBot="1" x14ac:dyDescent="0.25"/>
    <row r="62" spans="2:6" ht="19" customHeight="1" x14ac:dyDescent="0.2">
      <c r="B62" s="115" t="str">
        <f>Header!B3</f>
        <v>[SCHOOL NAME]</v>
      </c>
      <c r="C62" s="116"/>
      <c r="E62" s="115" t="str">
        <f>Header!B3</f>
        <v>[SCHOOL NAME]</v>
      </c>
      <c r="F62" s="116"/>
    </row>
    <row r="63" spans="2:6" ht="19" customHeight="1" x14ac:dyDescent="0.2">
      <c r="B63" s="117" t="str">
        <f>Header!B4</f>
        <v>[ADDRESS]</v>
      </c>
      <c r="C63" s="118"/>
      <c r="E63" s="117" t="str">
        <f>Header!B4</f>
        <v>[ADDRESS]</v>
      </c>
      <c r="F63" s="118"/>
    </row>
    <row r="64" spans="2:6" ht="19" customHeight="1" x14ac:dyDescent="0.2">
      <c r="B64" s="117" t="str">
        <f>Header!B5</f>
        <v>[CITY, STATE ZIP]</v>
      </c>
      <c r="C64" s="118"/>
      <c r="E64" s="117" t="str">
        <f>Header!B5</f>
        <v>[CITY, STATE ZIP]</v>
      </c>
      <c r="F64" s="118"/>
    </row>
    <row r="65" spans="2:6" x14ac:dyDescent="0.2">
      <c r="B65" s="4"/>
      <c r="C65" s="6"/>
      <c r="E65" s="4"/>
      <c r="F65" s="6"/>
    </row>
    <row r="66" spans="2:6" ht="17" customHeight="1" thickBot="1" x14ac:dyDescent="0.25">
      <c r="B66" s="114"/>
      <c r="C66" s="105"/>
      <c r="E66" s="114"/>
      <c r="F66" s="105"/>
    </row>
    <row r="67" spans="2:6" ht="17" customHeight="1" thickBot="1" x14ac:dyDescent="0.25">
      <c r="B67" s="103">
        <f>Master!C245</f>
        <v>0</v>
      </c>
      <c r="C67" s="105"/>
      <c r="E67" s="103">
        <f>Master!C261</f>
        <v>0</v>
      </c>
      <c r="F67" s="105"/>
    </row>
    <row r="68" spans="2:6" ht="27" customHeight="1" thickBot="1" x14ac:dyDescent="0.25">
      <c r="B68" s="7" t="s">
        <v>0</v>
      </c>
      <c r="C68" s="1" t="s">
        <v>2</v>
      </c>
      <c r="E68" s="7" t="s">
        <v>0</v>
      </c>
      <c r="F68" s="1" t="s">
        <v>2</v>
      </c>
    </row>
    <row r="69" spans="2:6" ht="60" customHeight="1" x14ac:dyDescent="0.2">
      <c r="B69" s="5" t="s">
        <v>701</v>
      </c>
      <c r="C69" s="8" t="str">
        <f>"RSP-11 "&amp;Master!A245</f>
        <v>RSP-11 Z679</v>
      </c>
      <c r="E69" s="5" t="s">
        <v>701</v>
      </c>
      <c r="F69" s="8" t="str">
        <f>"RSP-12 "&amp;Master!A261</f>
        <v>RSP-12 Z695</v>
      </c>
    </row>
    <row r="70" spans="2:6" ht="60" customHeight="1" x14ac:dyDescent="0.2">
      <c r="B70" s="5" t="s">
        <v>702</v>
      </c>
      <c r="C70" s="8" t="str">
        <f>"RSP-11 "&amp;Master!A246</f>
        <v>RSP-11 Z680</v>
      </c>
      <c r="E70" s="5" t="s">
        <v>702</v>
      </c>
      <c r="F70" s="8" t="str">
        <f>"RSP-12 "&amp;Master!A262</f>
        <v>RSP-12 Z696</v>
      </c>
    </row>
    <row r="71" spans="2:6" ht="60" customHeight="1" x14ac:dyDescent="0.2">
      <c r="B71" s="5" t="s">
        <v>703</v>
      </c>
      <c r="C71" s="9" t="s">
        <v>704</v>
      </c>
      <c r="E71" s="5" t="s">
        <v>703</v>
      </c>
      <c r="F71" s="9" t="s">
        <v>706</v>
      </c>
    </row>
    <row r="72" spans="2:6" ht="65.75" customHeight="1" x14ac:dyDescent="0.2">
      <c r="B72" s="5" t="s">
        <v>15</v>
      </c>
      <c r="C72" s="8" t="s">
        <v>705</v>
      </c>
      <c r="E72" s="5" t="s">
        <v>15</v>
      </c>
      <c r="F72" s="8" t="s">
        <v>705</v>
      </c>
    </row>
    <row r="73" spans="2:6" ht="16" customHeight="1" thickBot="1" x14ac:dyDescent="0.25"/>
    <row r="74" spans="2:6" ht="19" customHeight="1" x14ac:dyDescent="0.2">
      <c r="B74" s="115" t="str">
        <f>Header!B3</f>
        <v>[SCHOOL NAME]</v>
      </c>
      <c r="C74" s="116"/>
      <c r="E74" s="115" t="str">
        <f>Header!B3</f>
        <v>[SCHOOL NAME]</v>
      </c>
      <c r="F74" s="116"/>
    </row>
    <row r="75" spans="2:6" ht="19" customHeight="1" x14ac:dyDescent="0.2">
      <c r="B75" s="117" t="str">
        <f>Header!B4</f>
        <v>[ADDRESS]</v>
      </c>
      <c r="C75" s="118"/>
      <c r="E75" s="117" t="str">
        <f>Header!B4</f>
        <v>[ADDRESS]</v>
      </c>
      <c r="F75" s="118"/>
    </row>
    <row r="76" spans="2:6" ht="19" customHeight="1" x14ac:dyDescent="0.2">
      <c r="B76" s="117" t="str">
        <f>Header!B5</f>
        <v>[CITY, STATE ZIP]</v>
      </c>
      <c r="C76" s="118"/>
      <c r="E76" s="117" t="str">
        <f>Header!B5</f>
        <v>[CITY, STATE ZIP]</v>
      </c>
      <c r="F76" s="118"/>
    </row>
    <row r="77" spans="2:6" x14ac:dyDescent="0.2">
      <c r="B77" s="4"/>
      <c r="C77" s="6"/>
      <c r="E77" s="4"/>
      <c r="F77" s="6"/>
    </row>
    <row r="78" spans="2:6" ht="17" customHeight="1" thickBot="1" x14ac:dyDescent="0.25">
      <c r="B78" s="114"/>
      <c r="C78" s="105"/>
      <c r="E78" s="114"/>
      <c r="F78" s="105"/>
    </row>
    <row r="79" spans="2:6" ht="17" customHeight="1" thickBot="1" x14ac:dyDescent="0.25">
      <c r="B79" s="103">
        <f>Master!C281</f>
        <v>0</v>
      </c>
      <c r="C79" s="105"/>
      <c r="E79" s="103">
        <f>Master!C297</f>
        <v>0</v>
      </c>
      <c r="F79" s="105"/>
    </row>
    <row r="80" spans="2:6" ht="27" customHeight="1" thickBot="1" x14ac:dyDescent="0.25">
      <c r="B80" s="7" t="s">
        <v>0</v>
      </c>
      <c r="C80" s="1" t="s">
        <v>2</v>
      </c>
      <c r="E80" s="7" t="s">
        <v>0</v>
      </c>
      <c r="F80" s="1" t="s">
        <v>2</v>
      </c>
    </row>
    <row r="81" spans="2:6" ht="60" customHeight="1" x14ac:dyDescent="0.2">
      <c r="B81" s="5" t="s">
        <v>701</v>
      </c>
      <c r="C81" s="8" t="str">
        <f>"RSP-13 "&amp;Master!A281</f>
        <v>RSP-13 Z715</v>
      </c>
      <c r="E81" s="5" t="s">
        <v>701</v>
      </c>
      <c r="F81" s="8" t="str">
        <f>"RSP-14 "&amp;Master!A297</f>
        <v>RSP-14 Z731</v>
      </c>
    </row>
    <row r="82" spans="2:6" ht="60" customHeight="1" x14ac:dyDescent="0.2">
      <c r="B82" s="5" t="s">
        <v>702</v>
      </c>
      <c r="C82" s="8" t="str">
        <f>"RSP-13 "&amp;Master!A282</f>
        <v>RSP-13 Z716</v>
      </c>
      <c r="E82" s="5" t="s">
        <v>702</v>
      </c>
      <c r="F82" s="8" t="str">
        <f>"RSP-14 "&amp;Master!A298</f>
        <v>RSP-14 Z732</v>
      </c>
    </row>
    <row r="83" spans="2:6" ht="60" customHeight="1" x14ac:dyDescent="0.2">
      <c r="B83" s="5" t="s">
        <v>703</v>
      </c>
      <c r="C83" s="9" t="s">
        <v>704</v>
      </c>
      <c r="E83" s="5" t="s">
        <v>703</v>
      </c>
      <c r="F83" s="9" t="s">
        <v>704</v>
      </c>
    </row>
    <row r="84" spans="2:6" ht="65.75" customHeight="1" x14ac:dyDescent="0.2">
      <c r="B84" s="5" t="s">
        <v>15</v>
      </c>
      <c r="C84" s="8" t="s">
        <v>705</v>
      </c>
      <c r="E84" s="5" t="s">
        <v>15</v>
      </c>
      <c r="F84" s="8" t="s">
        <v>705</v>
      </c>
    </row>
    <row r="85" spans="2:6" ht="16" customHeight="1" thickBot="1" x14ac:dyDescent="0.25"/>
    <row r="86" spans="2:6" ht="19" customHeight="1" x14ac:dyDescent="0.2">
      <c r="B86" s="115" t="str">
        <f>Header!B3</f>
        <v>[SCHOOL NAME]</v>
      </c>
      <c r="C86" s="116"/>
      <c r="E86" s="115" t="str">
        <f>Header!B3</f>
        <v>[SCHOOL NAME]</v>
      </c>
      <c r="F86" s="116"/>
    </row>
    <row r="87" spans="2:6" ht="19" customHeight="1" x14ac:dyDescent="0.2">
      <c r="B87" s="117" t="str">
        <f>Header!B4</f>
        <v>[ADDRESS]</v>
      </c>
      <c r="C87" s="118"/>
      <c r="E87" s="117" t="str">
        <f>Header!B4</f>
        <v>[ADDRESS]</v>
      </c>
      <c r="F87" s="118"/>
    </row>
    <row r="88" spans="2:6" ht="19" customHeight="1" x14ac:dyDescent="0.2">
      <c r="B88" s="117" t="str">
        <f>Header!B5</f>
        <v>[CITY, STATE ZIP]</v>
      </c>
      <c r="C88" s="118"/>
      <c r="E88" s="117" t="str">
        <f>Header!B5</f>
        <v>[CITY, STATE ZIP]</v>
      </c>
      <c r="F88" s="118"/>
    </row>
    <row r="89" spans="2:6" x14ac:dyDescent="0.2">
      <c r="B89" s="4"/>
      <c r="C89" s="6"/>
      <c r="E89" s="4"/>
      <c r="F89" s="6"/>
    </row>
    <row r="90" spans="2:6" ht="17" customHeight="1" thickBot="1" x14ac:dyDescent="0.25">
      <c r="B90" s="114"/>
      <c r="C90" s="105"/>
      <c r="E90" s="114"/>
      <c r="F90" s="105"/>
    </row>
    <row r="91" spans="2:6" ht="17" customHeight="1" thickBot="1" x14ac:dyDescent="0.25">
      <c r="B91" s="103">
        <f>Master!C313</f>
        <v>0</v>
      </c>
      <c r="C91" s="105"/>
      <c r="E91" s="103">
        <f>Master!C329</f>
        <v>0</v>
      </c>
      <c r="F91" s="105"/>
    </row>
    <row r="92" spans="2:6" ht="27" customHeight="1" thickBot="1" x14ac:dyDescent="0.25">
      <c r="B92" s="7" t="s">
        <v>0</v>
      </c>
      <c r="C92" s="1" t="s">
        <v>2</v>
      </c>
      <c r="E92" s="7" t="s">
        <v>0</v>
      </c>
      <c r="F92" s="1" t="s">
        <v>2</v>
      </c>
    </row>
    <row r="93" spans="2:6" ht="60" customHeight="1" x14ac:dyDescent="0.2">
      <c r="B93" s="5" t="s">
        <v>701</v>
      </c>
      <c r="C93" s="8" t="str">
        <f>"RSP-15 "&amp;Master!A313</f>
        <v>RSP-15 Z747</v>
      </c>
      <c r="E93" s="5" t="s">
        <v>701</v>
      </c>
      <c r="F93" s="8" t="str">
        <f>"RSP-16 "&amp;Master!A329</f>
        <v>RSP-16 Z763</v>
      </c>
    </row>
    <row r="94" spans="2:6" ht="60" customHeight="1" x14ac:dyDescent="0.2">
      <c r="B94" s="5" t="s">
        <v>702</v>
      </c>
      <c r="C94" s="8" t="str">
        <f>"RSP-15 "&amp;Master!A314</f>
        <v>RSP-15 Z748</v>
      </c>
      <c r="E94" s="5" t="s">
        <v>702</v>
      </c>
      <c r="F94" s="8" t="str">
        <f>"RSP-16 "&amp;Master!A330</f>
        <v>RSP-16 Z764</v>
      </c>
    </row>
    <row r="95" spans="2:6" ht="60" customHeight="1" x14ac:dyDescent="0.2">
      <c r="B95" s="5" t="s">
        <v>703</v>
      </c>
      <c r="C95" s="9" t="s">
        <v>704</v>
      </c>
      <c r="E95" s="5" t="s">
        <v>703</v>
      </c>
      <c r="F95" s="9" t="s">
        <v>706</v>
      </c>
    </row>
    <row r="96" spans="2:6" ht="65.75" customHeight="1" x14ac:dyDescent="0.2">
      <c r="B96" s="5" t="s">
        <v>15</v>
      </c>
      <c r="C96" s="8" t="s">
        <v>705</v>
      </c>
      <c r="E96" s="5" t="s">
        <v>15</v>
      </c>
      <c r="F96" s="8" t="s">
        <v>705</v>
      </c>
    </row>
    <row r="97" spans="2:6" ht="16" customHeight="1" thickBot="1" x14ac:dyDescent="0.25"/>
    <row r="98" spans="2:6" ht="19" customHeight="1" x14ac:dyDescent="0.2">
      <c r="B98" s="115">
        <f>Header!B99</f>
        <v>0</v>
      </c>
      <c r="C98" s="116"/>
      <c r="E98" s="115">
        <f>Header!B99</f>
        <v>0</v>
      </c>
      <c r="F98" s="116"/>
    </row>
    <row r="99" spans="2:6" ht="19" customHeight="1" x14ac:dyDescent="0.2">
      <c r="B99" s="117">
        <f>Header!B100</f>
        <v>0</v>
      </c>
      <c r="C99" s="118"/>
      <c r="E99" s="117">
        <f>Header!B100</f>
        <v>0</v>
      </c>
      <c r="F99" s="118"/>
    </row>
    <row r="100" spans="2:6" ht="19" customHeight="1" x14ac:dyDescent="0.2">
      <c r="B100" s="117">
        <f>Header!B101</f>
        <v>0</v>
      </c>
      <c r="C100" s="118"/>
      <c r="E100" s="117">
        <f>Header!B101</f>
        <v>0</v>
      </c>
      <c r="F100" s="118"/>
    </row>
    <row r="101" spans="2:6" x14ac:dyDescent="0.2">
      <c r="B101" s="4"/>
      <c r="C101" s="6"/>
      <c r="E101" s="4"/>
      <c r="F101" s="6"/>
    </row>
    <row r="102" spans="2:6" ht="17" customHeight="1" thickBot="1" x14ac:dyDescent="0.25">
      <c r="B102" s="114"/>
      <c r="C102" s="105"/>
      <c r="E102" s="114"/>
      <c r="F102" s="105"/>
    </row>
    <row r="103" spans="2:6" ht="17" customHeight="1" thickBot="1" x14ac:dyDescent="0.25">
      <c r="B103" s="103">
        <f>Master!C177</f>
        <v>0</v>
      </c>
      <c r="C103" s="105"/>
      <c r="E103" s="103">
        <f>Master!C193</f>
        <v>0</v>
      </c>
      <c r="F103" s="105"/>
    </row>
    <row r="104" spans="2:6" ht="27" customHeight="1" thickBot="1" x14ac:dyDescent="0.25">
      <c r="B104" s="7" t="s">
        <v>0</v>
      </c>
      <c r="C104" s="1" t="s">
        <v>2</v>
      </c>
      <c r="E104" s="7" t="s">
        <v>0</v>
      </c>
      <c r="F104" s="1" t="s">
        <v>2</v>
      </c>
    </row>
    <row r="105" spans="2:6" ht="60" customHeight="1" x14ac:dyDescent="0.2">
      <c r="B105" s="5" t="s">
        <v>701</v>
      </c>
      <c r="C105" s="8" t="str">
        <f>"RSP-17 "&amp;Master!A345</f>
        <v>RSP-17 Z779</v>
      </c>
      <c r="E105" s="5" t="s">
        <v>701</v>
      </c>
      <c r="F105" s="8" t="str">
        <f>"RSP-18 "&amp;Master!A361</f>
        <v>RSP-18 Z795</v>
      </c>
    </row>
    <row r="106" spans="2:6" ht="60" customHeight="1" x14ac:dyDescent="0.2">
      <c r="B106" s="5" t="s">
        <v>702</v>
      </c>
      <c r="C106" s="8" t="str">
        <f>"RSP-17 "&amp;Master!A346</f>
        <v>RSP-17 Z780</v>
      </c>
      <c r="E106" s="5" t="s">
        <v>702</v>
      </c>
      <c r="F106" s="8" t="str">
        <f>"RSP-18 "&amp;Master!A362</f>
        <v>RSP-18 Z796</v>
      </c>
    </row>
    <row r="107" spans="2:6" ht="60" customHeight="1" x14ac:dyDescent="0.2">
      <c r="B107" s="5" t="s">
        <v>703</v>
      </c>
      <c r="C107" s="9" t="s">
        <v>704</v>
      </c>
      <c r="E107" s="5" t="s">
        <v>703</v>
      </c>
      <c r="F107" s="9" t="s">
        <v>704</v>
      </c>
    </row>
    <row r="108" spans="2:6" ht="65.75" customHeight="1" x14ac:dyDescent="0.2">
      <c r="B108" s="5" t="s">
        <v>15</v>
      </c>
      <c r="C108" s="8" t="s">
        <v>705</v>
      </c>
      <c r="E108" s="5" t="s">
        <v>15</v>
      </c>
      <c r="F108" s="8" t="s">
        <v>705</v>
      </c>
    </row>
    <row r="109" spans="2:6" ht="16" customHeight="1" thickBot="1" x14ac:dyDescent="0.25"/>
    <row r="110" spans="2:6" ht="19" customHeight="1" x14ac:dyDescent="0.2">
      <c r="B110" s="115">
        <f>Header!B99</f>
        <v>0</v>
      </c>
      <c r="C110" s="116"/>
      <c r="E110" s="115">
        <f>Header!B99</f>
        <v>0</v>
      </c>
      <c r="F110" s="116"/>
    </row>
    <row r="111" spans="2:6" ht="19" customHeight="1" x14ac:dyDescent="0.2">
      <c r="B111" s="117">
        <f>Header!B100</f>
        <v>0</v>
      </c>
      <c r="C111" s="118"/>
      <c r="E111" s="117">
        <f>Header!B100</f>
        <v>0</v>
      </c>
      <c r="F111" s="118"/>
    </row>
    <row r="112" spans="2:6" ht="19" customHeight="1" x14ac:dyDescent="0.2">
      <c r="B112" s="117">
        <f>Header!B101</f>
        <v>0</v>
      </c>
      <c r="C112" s="118"/>
      <c r="E112" s="117">
        <f>Header!B101</f>
        <v>0</v>
      </c>
      <c r="F112" s="118"/>
    </row>
    <row r="113" spans="2:6" x14ac:dyDescent="0.2">
      <c r="B113" s="4"/>
      <c r="C113" s="6"/>
      <c r="E113" s="4"/>
      <c r="F113" s="6"/>
    </row>
    <row r="114" spans="2:6" ht="17" customHeight="1" thickBot="1" x14ac:dyDescent="0.25">
      <c r="B114" s="114"/>
      <c r="C114" s="105"/>
      <c r="E114" s="114"/>
      <c r="F114" s="105"/>
    </row>
    <row r="115" spans="2:6" ht="17" customHeight="1" thickBot="1" x14ac:dyDescent="0.25">
      <c r="B115" s="103">
        <f>Master!C209</f>
        <v>0</v>
      </c>
      <c r="C115" s="105"/>
      <c r="E115" s="103">
        <f>Master!C225</f>
        <v>0</v>
      </c>
      <c r="F115" s="105"/>
    </row>
    <row r="116" spans="2:6" ht="27" customHeight="1" thickBot="1" x14ac:dyDescent="0.25">
      <c r="B116" s="7" t="s">
        <v>0</v>
      </c>
      <c r="C116" s="1" t="s">
        <v>2</v>
      </c>
      <c r="E116" s="7" t="s">
        <v>0</v>
      </c>
      <c r="F116" s="1" t="s">
        <v>2</v>
      </c>
    </row>
    <row r="117" spans="2:6" ht="60" customHeight="1" x14ac:dyDescent="0.2">
      <c r="B117" s="5" t="s">
        <v>701</v>
      </c>
      <c r="C117" s="8" t="str">
        <f>"RSP-19 "&amp;Master!A381</f>
        <v>RSP-19 Z815</v>
      </c>
      <c r="E117" s="5" t="s">
        <v>701</v>
      </c>
      <c r="F117" s="8" t="str">
        <f>"RSP-20 "&amp;Master!A397</f>
        <v>RSP-20 Z831</v>
      </c>
    </row>
    <row r="118" spans="2:6" ht="60" customHeight="1" x14ac:dyDescent="0.2">
      <c r="B118" s="5" t="s">
        <v>702</v>
      </c>
      <c r="C118" s="8" t="str">
        <f>"RSP-19 "&amp;Master!A382</f>
        <v>RSP-19 Z816</v>
      </c>
      <c r="E118" s="5" t="s">
        <v>702</v>
      </c>
      <c r="F118" s="8" t="str">
        <f>"RSP-20 "&amp;Master!A398</f>
        <v>RSP-20 Z832</v>
      </c>
    </row>
    <row r="119" spans="2:6" ht="60" customHeight="1" x14ac:dyDescent="0.2">
      <c r="B119" s="5" t="s">
        <v>703</v>
      </c>
      <c r="C119" s="9" t="s">
        <v>704</v>
      </c>
      <c r="E119" s="5" t="s">
        <v>703</v>
      </c>
      <c r="F119" s="9" t="s">
        <v>704</v>
      </c>
    </row>
    <row r="120" spans="2:6" ht="65.75" customHeight="1" x14ac:dyDescent="0.2">
      <c r="B120" s="5" t="s">
        <v>15</v>
      </c>
      <c r="C120" s="8" t="s">
        <v>705</v>
      </c>
      <c r="E120" s="5" t="s">
        <v>15</v>
      </c>
      <c r="F120" s="8" t="s">
        <v>705</v>
      </c>
    </row>
    <row r="121" spans="2:6" ht="16" customHeight="1" thickBot="1" x14ac:dyDescent="0.25"/>
    <row r="122" spans="2:6" ht="19" customHeight="1" x14ac:dyDescent="0.2">
      <c r="B122" s="115">
        <f>Header!B99</f>
        <v>0</v>
      </c>
      <c r="C122" s="116"/>
      <c r="E122" s="115">
        <f>Header!B99</f>
        <v>0</v>
      </c>
      <c r="F122" s="116"/>
    </row>
    <row r="123" spans="2:6" ht="19" customHeight="1" x14ac:dyDescent="0.2">
      <c r="B123" s="117">
        <f>Header!B100</f>
        <v>0</v>
      </c>
      <c r="C123" s="118"/>
      <c r="E123" s="117">
        <f>Header!B100</f>
        <v>0</v>
      </c>
      <c r="F123" s="118"/>
    </row>
    <row r="124" spans="2:6" ht="19" customHeight="1" x14ac:dyDescent="0.2">
      <c r="B124" s="117">
        <f>Header!B101</f>
        <v>0</v>
      </c>
      <c r="C124" s="118"/>
      <c r="E124" s="117">
        <f>Header!B101</f>
        <v>0</v>
      </c>
      <c r="F124" s="118"/>
    </row>
    <row r="125" spans="2:6" x14ac:dyDescent="0.2">
      <c r="B125" s="4"/>
      <c r="C125" s="6"/>
      <c r="E125" s="4"/>
      <c r="F125" s="6"/>
    </row>
    <row r="126" spans="2:6" ht="17" customHeight="1" thickBot="1" x14ac:dyDescent="0.25">
      <c r="B126" s="114"/>
      <c r="C126" s="105"/>
      <c r="E126" s="114"/>
      <c r="F126" s="105"/>
    </row>
    <row r="127" spans="2:6" ht="17" customHeight="1" thickBot="1" x14ac:dyDescent="0.25">
      <c r="B127" s="103">
        <f>Master!C241</f>
        <v>0</v>
      </c>
      <c r="C127" s="105"/>
      <c r="E127" s="103">
        <f>Master!C257</f>
        <v>0</v>
      </c>
      <c r="F127" s="105"/>
    </row>
    <row r="128" spans="2:6" ht="27" customHeight="1" thickBot="1" x14ac:dyDescent="0.25">
      <c r="B128" s="7" t="s">
        <v>0</v>
      </c>
      <c r="C128" s="1" t="s">
        <v>2</v>
      </c>
      <c r="E128" s="7" t="s">
        <v>0</v>
      </c>
      <c r="F128" s="1" t="s">
        <v>2</v>
      </c>
    </row>
    <row r="129" spans="2:6" ht="60" customHeight="1" x14ac:dyDescent="0.2">
      <c r="B129" s="5" t="s">
        <v>701</v>
      </c>
      <c r="C129" s="8" t="str">
        <f>"RSP-21 "&amp;Master!A413</f>
        <v>RSP-21 Z847</v>
      </c>
      <c r="E129" s="5" t="s">
        <v>701</v>
      </c>
      <c r="F129" s="8" t="str">
        <f>"RSP-22 "&amp;Master!A429</f>
        <v>RSP-22 Z863</v>
      </c>
    </row>
    <row r="130" spans="2:6" ht="60" customHeight="1" x14ac:dyDescent="0.2">
      <c r="B130" s="5" t="s">
        <v>702</v>
      </c>
      <c r="C130" s="8" t="str">
        <f>"RSP-21 "&amp;Master!A414</f>
        <v>RSP-21 Z848</v>
      </c>
      <c r="E130" s="5" t="s">
        <v>702</v>
      </c>
      <c r="F130" s="8" t="str">
        <f>"RSP-22 "&amp;Master!A430</f>
        <v>RSP-22 Z864</v>
      </c>
    </row>
    <row r="131" spans="2:6" ht="60" customHeight="1" x14ac:dyDescent="0.2">
      <c r="B131" s="5" t="s">
        <v>703</v>
      </c>
      <c r="C131" s="9" t="s">
        <v>704</v>
      </c>
      <c r="E131" s="5" t="s">
        <v>703</v>
      </c>
      <c r="F131" s="9" t="s">
        <v>704</v>
      </c>
    </row>
    <row r="132" spans="2:6" ht="65.75" customHeight="1" x14ac:dyDescent="0.2">
      <c r="B132" s="5" t="s">
        <v>15</v>
      </c>
      <c r="C132" s="8" t="s">
        <v>705</v>
      </c>
      <c r="E132" s="5" t="s">
        <v>15</v>
      </c>
      <c r="F132" s="8" t="s">
        <v>705</v>
      </c>
    </row>
    <row r="133" spans="2:6" ht="16" customHeight="1" thickBot="1" x14ac:dyDescent="0.25"/>
    <row r="134" spans="2:6" ht="19" customHeight="1" x14ac:dyDescent="0.2">
      <c r="B134" s="115">
        <f>Header!B99</f>
        <v>0</v>
      </c>
      <c r="C134" s="116"/>
      <c r="E134" s="115">
        <f>Header!B99</f>
        <v>0</v>
      </c>
      <c r="F134" s="116"/>
    </row>
    <row r="135" spans="2:6" ht="19" customHeight="1" x14ac:dyDescent="0.2">
      <c r="B135" s="117">
        <f>Header!B100</f>
        <v>0</v>
      </c>
      <c r="C135" s="118"/>
      <c r="E135" s="117">
        <f>Header!B100</f>
        <v>0</v>
      </c>
      <c r="F135" s="118"/>
    </row>
    <row r="136" spans="2:6" ht="19" customHeight="1" x14ac:dyDescent="0.2">
      <c r="B136" s="117">
        <f>Header!B101</f>
        <v>0</v>
      </c>
      <c r="C136" s="118"/>
      <c r="E136" s="117">
        <f>Header!B101</f>
        <v>0</v>
      </c>
      <c r="F136" s="118"/>
    </row>
    <row r="137" spans="2:6" x14ac:dyDescent="0.2">
      <c r="B137" s="4"/>
      <c r="C137" s="6"/>
      <c r="E137" s="4"/>
      <c r="F137" s="6"/>
    </row>
    <row r="138" spans="2:6" ht="17" customHeight="1" thickBot="1" x14ac:dyDescent="0.25">
      <c r="B138" s="114"/>
      <c r="C138" s="105"/>
      <c r="E138" s="114"/>
      <c r="F138" s="105"/>
    </row>
    <row r="139" spans="2:6" ht="17" customHeight="1" thickBot="1" x14ac:dyDescent="0.25">
      <c r="B139" s="103">
        <f>Master!C277</f>
        <v>0</v>
      </c>
      <c r="C139" s="105"/>
      <c r="E139" s="103">
        <f>Master!C293</f>
        <v>0</v>
      </c>
      <c r="F139" s="105"/>
    </row>
    <row r="140" spans="2:6" ht="27" customHeight="1" thickBot="1" x14ac:dyDescent="0.25">
      <c r="B140" s="7" t="s">
        <v>0</v>
      </c>
      <c r="C140" s="1" t="s">
        <v>2</v>
      </c>
      <c r="E140" s="7" t="s">
        <v>0</v>
      </c>
      <c r="F140" s="1" t="s">
        <v>2</v>
      </c>
    </row>
    <row r="141" spans="2:6" ht="60" customHeight="1" x14ac:dyDescent="0.2">
      <c r="B141" s="5" t="s">
        <v>701</v>
      </c>
      <c r="C141" s="8" t="str">
        <f>"RSP-23 "&amp;Master!A445</f>
        <v>RSP-23 Z879</v>
      </c>
      <c r="E141" s="5" t="s">
        <v>701</v>
      </c>
      <c r="F141" s="8" t="str">
        <f>"RSP-24 "&amp;Master!A461</f>
        <v>RSP-24 Z895</v>
      </c>
    </row>
    <row r="142" spans="2:6" ht="60" customHeight="1" x14ac:dyDescent="0.2">
      <c r="B142" s="5" t="s">
        <v>702</v>
      </c>
      <c r="C142" s="8" t="str">
        <f>"RSP-23 "&amp;Master!A446</f>
        <v>RSP-23 Z880</v>
      </c>
      <c r="E142" s="5" t="s">
        <v>702</v>
      </c>
      <c r="F142" s="8" t="str">
        <f>"RSP-24 "&amp;Master!A462</f>
        <v>RSP-24 Z896</v>
      </c>
    </row>
    <row r="143" spans="2:6" ht="60" customHeight="1" x14ac:dyDescent="0.2">
      <c r="B143" s="5" t="s">
        <v>703</v>
      </c>
      <c r="C143" s="9" t="s">
        <v>704</v>
      </c>
      <c r="E143" s="5" t="s">
        <v>703</v>
      </c>
      <c r="F143" s="9" t="s">
        <v>704</v>
      </c>
    </row>
    <row r="144" spans="2:6" ht="65.75" customHeight="1" x14ac:dyDescent="0.2">
      <c r="B144" s="5" t="s">
        <v>15</v>
      </c>
      <c r="C144" s="8" t="s">
        <v>705</v>
      </c>
      <c r="E144" s="5" t="s">
        <v>15</v>
      </c>
      <c r="F144" s="8" t="s">
        <v>705</v>
      </c>
    </row>
    <row r="145" spans="2:6" ht="16" customHeight="1" thickBot="1" x14ac:dyDescent="0.25"/>
    <row r="146" spans="2:6" ht="19" customHeight="1" x14ac:dyDescent="0.2">
      <c r="B146" s="115">
        <f>Header!B99</f>
        <v>0</v>
      </c>
      <c r="C146" s="116"/>
      <c r="E146" s="115">
        <f>Header!B99</f>
        <v>0</v>
      </c>
      <c r="F146" s="116"/>
    </row>
    <row r="147" spans="2:6" ht="19" customHeight="1" x14ac:dyDescent="0.2">
      <c r="B147" s="117">
        <f>Header!B100</f>
        <v>0</v>
      </c>
      <c r="C147" s="118"/>
      <c r="E147" s="117">
        <f>Header!B100</f>
        <v>0</v>
      </c>
      <c r="F147" s="118"/>
    </row>
    <row r="148" spans="2:6" ht="19" customHeight="1" x14ac:dyDescent="0.2">
      <c r="B148" s="117">
        <f>Header!B101</f>
        <v>0</v>
      </c>
      <c r="C148" s="118"/>
      <c r="E148" s="117">
        <f>Header!B101</f>
        <v>0</v>
      </c>
      <c r="F148" s="118"/>
    </row>
    <row r="149" spans="2:6" x14ac:dyDescent="0.2">
      <c r="B149" s="4"/>
      <c r="C149" s="6"/>
      <c r="E149" s="4"/>
      <c r="F149" s="6"/>
    </row>
    <row r="150" spans="2:6" ht="17" customHeight="1" thickBot="1" x14ac:dyDescent="0.25">
      <c r="B150" s="114"/>
      <c r="C150" s="105"/>
      <c r="E150" s="114"/>
      <c r="F150" s="105"/>
    </row>
    <row r="151" spans="2:6" ht="17" customHeight="1" thickBot="1" x14ac:dyDescent="0.25">
      <c r="B151" s="103">
        <f>Master!C309</f>
        <v>0</v>
      </c>
      <c r="C151" s="105"/>
      <c r="E151" s="103">
        <f>Master!C325</f>
        <v>0</v>
      </c>
      <c r="F151" s="105"/>
    </row>
    <row r="152" spans="2:6" ht="27" customHeight="1" thickBot="1" x14ac:dyDescent="0.25">
      <c r="B152" s="7" t="s">
        <v>0</v>
      </c>
      <c r="C152" s="1" t="s">
        <v>2</v>
      </c>
      <c r="E152" s="7" t="s">
        <v>0</v>
      </c>
      <c r="F152" s="1" t="s">
        <v>2</v>
      </c>
    </row>
    <row r="153" spans="2:6" ht="60" customHeight="1" x14ac:dyDescent="0.2">
      <c r="B153" s="5" t="s">
        <v>701</v>
      </c>
      <c r="C153" s="8" t="str">
        <f>"RSP-25 "&amp;Master!A481</f>
        <v>RSP-25 Z915</v>
      </c>
      <c r="E153" s="5" t="s">
        <v>701</v>
      </c>
      <c r="F153" s="8" t="str">
        <f>"RSP-26 "&amp;Master!A497</f>
        <v>RSP-26 Z931</v>
      </c>
    </row>
    <row r="154" spans="2:6" ht="60" customHeight="1" x14ac:dyDescent="0.2">
      <c r="B154" s="5" t="s">
        <v>702</v>
      </c>
      <c r="C154" s="8" t="str">
        <f>"RSP-25 "&amp;Master!A482</f>
        <v>RSP-25 Z916</v>
      </c>
      <c r="E154" s="5" t="s">
        <v>702</v>
      </c>
      <c r="F154" s="8" t="str">
        <f>"RSP-26 "&amp;Master!A498</f>
        <v>RSP-26 Z932</v>
      </c>
    </row>
    <row r="155" spans="2:6" ht="60" customHeight="1" x14ac:dyDescent="0.2">
      <c r="B155" s="5" t="s">
        <v>703</v>
      </c>
      <c r="C155" s="9" t="s">
        <v>704</v>
      </c>
      <c r="E155" s="5" t="s">
        <v>703</v>
      </c>
      <c r="F155" s="9" t="s">
        <v>704</v>
      </c>
    </row>
    <row r="156" spans="2:6" ht="65.75" customHeight="1" x14ac:dyDescent="0.2">
      <c r="B156" s="5" t="s">
        <v>15</v>
      </c>
      <c r="C156" s="8" t="s">
        <v>705</v>
      </c>
      <c r="E156" s="5" t="s">
        <v>15</v>
      </c>
      <c r="F156" s="8" t="s">
        <v>705</v>
      </c>
    </row>
    <row r="157" spans="2:6" ht="16" customHeight="1" thickBot="1" x14ac:dyDescent="0.25"/>
    <row r="158" spans="2:6" ht="19" customHeight="1" x14ac:dyDescent="0.2">
      <c r="B158" s="115">
        <f>Header!B99</f>
        <v>0</v>
      </c>
      <c r="C158" s="116"/>
      <c r="E158" s="115">
        <f>Header!B99</f>
        <v>0</v>
      </c>
      <c r="F158" s="116"/>
    </row>
    <row r="159" spans="2:6" ht="19" customHeight="1" x14ac:dyDescent="0.2">
      <c r="B159" s="117">
        <f>Header!B100</f>
        <v>0</v>
      </c>
      <c r="C159" s="118"/>
      <c r="E159" s="117">
        <f>Header!B100</f>
        <v>0</v>
      </c>
      <c r="F159" s="118"/>
    </row>
    <row r="160" spans="2:6" ht="19" customHeight="1" x14ac:dyDescent="0.2">
      <c r="B160" s="117">
        <f>Header!B101</f>
        <v>0</v>
      </c>
      <c r="C160" s="118"/>
      <c r="E160" s="117">
        <f>Header!B101</f>
        <v>0</v>
      </c>
      <c r="F160" s="118"/>
    </row>
    <row r="161" spans="2:6" x14ac:dyDescent="0.2">
      <c r="B161" s="4"/>
      <c r="C161" s="6"/>
      <c r="E161" s="4"/>
      <c r="F161" s="6"/>
    </row>
    <row r="162" spans="2:6" ht="17" customHeight="1" thickBot="1" x14ac:dyDescent="0.25">
      <c r="B162" s="114"/>
      <c r="C162" s="105"/>
      <c r="E162" s="114"/>
      <c r="F162" s="105"/>
    </row>
    <row r="163" spans="2:6" ht="17" customHeight="1" thickBot="1" x14ac:dyDescent="0.25">
      <c r="B163" s="103">
        <f>Master!C341</f>
        <v>0</v>
      </c>
      <c r="C163" s="105"/>
      <c r="E163" s="103">
        <f>Master!C357</f>
        <v>0</v>
      </c>
      <c r="F163" s="105"/>
    </row>
    <row r="164" spans="2:6" ht="27" customHeight="1" thickBot="1" x14ac:dyDescent="0.25">
      <c r="B164" s="7" t="s">
        <v>0</v>
      </c>
      <c r="C164" s="1" t="s">
        <v>2</v>
      </c>
      <c r="E164" s="7" t="s">
        <v>0</v>
      </c>
      <c r="F164" s="1" t="s">
        <v>2</v>
      </c>
    </row>
    <row r="165" spans="2:6" ht="60" customHeight="1" x14ac:dyDescent="0.2">
      <c r="B165" s="5" t="s">
        <v>701</v>
      </c>
      <c r="C165" s="8" t="str">
        <f>"RSP-27 "&amp;Master!A513</f>
        <v>RSP-27 Z947</v>
      </c>
      <c r="E165" s="5" t="s">
        <v>701</v>
      </c>
      <c r="F165" s="8" t="str">
        <f>"RSP-28 "&amp;Master!A529</f>
        <v>RSP-28 Z963</v>
      </c>
    </row>
    <row r="166" spans="2:6" ht="60" customHeight="1" x14ac:dyDescent="0.2">
      <c r="B166" s="5" t="s">
        <v>702</v>
      </c>
      <c r="C166" s="8" t="str">
        <f>"RSP-27 "&amp;Master!A514</f>
        <v>RSP-27 Z948</v>
      </c>
      <c r="E166" s="5" t="s">
        <v>702</v>
      </c>
      <c r="F166" s="8" t="str">
        <f>"RSP-28 "&amp;Master!A530</f>
        <v>RSP-28 Z964</v>
      </c>
    </row>
    <row r="167" spans="2:6" ht="60" customHeight="1" x14ac:dyDescent="0.2">
      <c r="B167" s="5" t="s">
        <v>703</v>
      </c>
      <c r="C167" s="9" t="s">
        <v>704</v>
      </c>
      <c r="E167" s="5" t="s">
        <v>703</v>
      </c>
      <c r="F167" s="9" t="s">
        <v>706</v>
      </c>
    </row>
    <row r="168" spans="2:6" ht="65.75" customHeight="1" x14ac:dyDescent="0.2">
      <c r="B168" s="5" t="s">
        <v>15</v>
      </c>
      <c r="C168" s="8" t="s">
        <v>705</v>
      </c>
      <c r="E168" s="5" t="s">
        <v>15</v>
      </c>
      <c r="F168" s="8" t="s">
        <v>705</v>
      </c>
    </row>
    <row r="169" spans="2:6" ht="16" customHeight="1" thickBot="1" x14ac:dyDescent="0.25"/>
    <row r="170" spans="2:6" ht="19" customHeight="1" x14ac:dyDescent="0.2">
      <c r="B170" s="115">
        <f>Header!B99</f>
        <v>0</v>
      </c>
      <c r="C170" s="116"/>
      <c r="E170" s="115">
        <f>Header!B99</f>
        <v>0</v>
      </c>
      <c r="F170" s="116"/>
    </row>
    <row r="171" spans="2:6" ht="19" customHeight="1" x14ac:dyDescent="0.2">
      <c r="B171" s="117">
        <f>Header!B100</f>
        <v>0</v>
      </c>
      <c r="C171" s="118"/>
      <c r="E171" s="117">
        <f>Header!B100</f>
        <v>0</v>
      </c>
      <c r="F171" s="118"/>
    </row>
    <row r="172" spans="2:6" ht="19" customHeight="1" x14ac:dyDescent="0.2">
      <c r="B172" s="117">
        <f>Header!B101</f>
        <v>0</v>
      </c>
      <c r="C172" s="118"/>
      <c r="E172" s="117">
        <f>Header!B101</f>
        <v>0</v>
      </c>
      <c r="F172" s="118"/>
    </row>
    <row r="173" spans="2:6" x14ac:dyDescent="0.2">
      <c r="B173" s="4"/>
      <c r="C173" s="6"/>
      <c r="E173" s="4"/>
      <c r="F173" s="6"/>
    </row>
    <row r="174" spans="2:6" ht="17" customHeight="1" thickBot="1" x14ac:dyDescent="0.25">
      <c r="B174" s="114"/>
      <c r="C174" s="105"/>
      <c r="E174" s="114"/>
      <c r="F174" s="105"/>
    </row>
    <row r="175" spans="2:6" ht="17" customHeight="1" thickBot="1" x14ac:dyDescent="0.25">
      <c r="B175" s="103">
        <f>Master!C377</f>
        <v>0</v>
      </c>
      <c r="C175" s="105"/>
      <c r="E175" s="103">
        <f>Master!C393</f>
        <v>0</v>
      </c>
      <c r="F175" s="105"/>
    </row>
    <row r="176" spans="2:6" ht="27" customHeight="1" thickBot="1" x14ac:dyDescent="0.25">
      <c r="B176" s="7" t="s">
        <v>0</v>
      </c>
      <c r="C176" s="1" t="s">
        <v>2</v>
      </c>
      <c r="E176" s="7" t="s">
        <v>0</v>
      </c>
      <c r="F176" s="1" t="s">
        <v>2</v>
      </c>
    </row>
    <row r="177" spans="2:6" ht="60" customHeight="1" x14ac:dyDescent="0.2">
      <c r="B177" s="5" t="s">
        <v>701</v>
      </c>
      <c r="C177" s="8" t="str">
        <f>"RSP-29 "&amp;Master!A545</f>
        <v>RSP-29 Z979</v>
      </c>
      <c r="E177" s="5" t="s">
        <v>701</v>
      </c>
      <c r="F177" s="8" t="str">
        <f>"RSP-30 "&amp;Master!A561</f>
        <v>RSP-30 Z995</v>
      </c>
    </row>
    <row r="178" spans="2:6" ht="60" customHeight="1" x14ac:dyDescent="0.2">
      <c r="B178" s="5" t="s">
        <v>702</v>
      </c>
      <c r="C178" s="8" t="str">
        <f>"RSP-29 "&amp;Master!A546</f>
        <v>RSP-29 Z980</v>
      </c>
      <c r="E178" s="5" t="s">
        <v>702</v>
      </c>
      <c r="F178" s="8" t="str">
        <f>"RSP-30 "&amp;Master!A562</f>
        <v>RSP-30 Z996</v>
      </c>
    </row>
    <row r="179" spans="2:6" ht="60" customHeight="1" x14ac:dyDescent="0.2">
      <c r="B179" s="5" t="s">
        <v>703</v>
      </c>
      <c r="C179" s="9" t="s">
        <v>704</v>
      </c>
      <c r="E179" s="5" t="s">
        <v>703</v>
      </c>
      <c r="F179" s="9" t="s">
        <v>704</v>
      </c>
    </row>
    <row r="180" spans="2:6" ht="65.75" customHeight="1" x14ac:dyDescent="0.2">
      <c r="B180" s="5" t="s">
        <v>15</v>
      </c>
      <c r="C180" s="8" t="s">
        <v>705</v>
      </c>
      <c r="E180" s="5" t="s">
        <v>15</v>
      </c>
      <c r="F180" s="8" t="s">
        <v>705</v>
      </c>
    </row>
    <row r="181" spans="2:6" ht="16" customHeight="1" x14ac:dyDescent="0.2"/>
  </sheetData>
  <mergeCells count="150">
    <mergeCell ref="B175:C175"/>
    <mergeCell ref="B87:C87"/>
    <mergeCell ref="B147:C147"/>
    <mergeCell ref="E30:F30"/>
    <mergeCell ref="E2:F2"/>
    <mergeCell ref="B74:C74"/>
    <mergeCell ref="B139:C139"/>
    <mergeCell ref="B114:C114"/>
    <mergeCell ref="B123:C123"/>
    <mergeCell ref="E159:F159"/>
    <mergeCell ref="B50:C50"/>
    <mergeCell ref="B163:C163"/>
    <mergeCell ref="B110:C110"/>
    <mergeCell ref="B4:C4"/>
    <mergeCell ref="B126:C126"/>
    <mergeCell ref="B75:C75"/>
    <mergeCell ref="E43:F43"/>
    <mergeCell ref="B135:C135"/>
    <mergeCell ref="B62:C62"/>
    <mergeCell ref="B150:C150"/>
    <mergeCell ref="E98:F98"/>
    <mergeCell ref="B159:C159"/>
    <mergeCell ref="E42:F42"/>
    <mergeCell ref="E88:F88"/>
    <mergeCell ref="B171:C171"/>
    <mergeCell ref="B170:C170"/>
    <mergeCell ref="B88:C88"/>
    <mergeCell ref="E78:F78"/>
    <mergeCell ref="B148:C148"/>
    <mergeCell ref="B162:C162"/>
    <mergeCell ref="E114:F114"/>
    <mergeCell ref="E158:F158"/>
    <mergeCell ref="B26:C26"/>
    <mergeCell ref="E102:F102"/>
    <mergeCell ref="B151:C151"/>
    <mergeCell ref="B67:C67"/>
    <mergeCell ref="E63:F63"/>
    <mergeCell ref="B115:C115"/>
    <mergeCell ref="B31:C31"/>
    <mergeCell ref="B102:C102"/>
    <mergeCell ref="E6:F6"/>
    <mergeCell ref="E15:F15"/>
    <mergeCell ref="E86:F86"/>
    <mergeCell ref="B19:C19"/>
    <mergeCell ref="B172:C172"/>
    <mergeCell ref="B146:C146"/>
    <mergeCell ref="B28:C28"/>
    <mergeCell ref="B99:C99"/>
    <mergeCell ref="E162:F162"/>
    <mergeCell ref="B30:C30"/>
    <mergeCell ref="E54:F54"/>
    <mergeCell ref="B124:C124"/>
    <mergeCell ref="E7:F7"/>
    <mergeCell ref="E134:F134"/>
    <mergeCell ref="B76:C76"/>
    <mergeCell ref="E112:F112"/>
    <mergeCell ref="E150:F150"/>
    <mergeCell ref="B122:C122"/>
    <mergeCell ref="E39:F39"/>
    <mergeCell ref="B43:C43"/>
    <mergeCell ref="B52:C52"/>
    <mergeCell ref="B98:C98"/>
    <mergeCell ref="E103:F103"/>
    <mergeCell ref="B42:C42"/>
    <mergeCell ref="B2:C2"/>
    <mergeCell ref="E38:F38"/>
    <mergeCell ref="E147:F147"/>
    <mergeCell ref="E170:F170"/>
    <mergeCell ref="E40:F40"/>
    <mergeCell ref="E90:F90"/>
    <mergeCell ref="B103:C103"/>
    <mergeCell ref="B174:C174"/>
    <mergeCell ref="E26:F26"/>
    <mergeCell ref="E110:F110"/>
    <mergeCell ref="E124:F124"/>
    <mergeCell ref="B158:C158"/>
    <mergeCell ref="B6:C6"/>
    <mergeCell ref="E172:F172"/>
    <mergeCell ref="E16:F16"/>
    <mergeCell ref="B15:C15"/>
    <mergeCell ref="E76:F76"/>
    <mergeCell ref="E174:F174"/>
    <mergeCell ref="B160:C160"/>
    <mergeCell ref="E66:F66"/>
    <mergeCell ref="B79:C79"/>
    <mergeCell ref="E18:F18"/>
    <mergeCell ref="E50:F50"/>
    <mergeCell ref="B54:C54"/>
    <mergeCell ref="E3:F3"/>
    <mergeCell ref="B16:C16"/>
    <mergeCell ref="B138:C138"/>
    <mergeCell ref="E55:F55"/>
    <mergeCell ref="B90:C90"/>
    <mergeCell ref="E175:F175"/>
    <mergeCell ref="B3:C3"/>
    <mergeCell ref="E122:F122"/>
    <mergeCell ref="E67:F67"/>
    <mergeCell ref="B66:C66"/>
    <mergeCell ref="E14:F14"/>
    <mergeCell ref="E127:F127"/>
    <mergeCell ref="B27:C27"/>
    <mergeCell ref="B18:C18"/>
    <mergeCell ref="E4:F4"/>
    <mergeCell ref="B7:C7"/>
    <mergeCell ref="B134:C134"/>
    <mergeCell ref="E151:F151"/>
    <mergeCell ref="E160:F160"/>
    <mergeCell ref="E52:F52"/>
    <mergeCell ref="E123:F123"/>
    <mergeCell ref="E135:F135"/>
    <mergeCell ref="E171:F171"/>
    <mergeCell ref="E87:F87"/>
    <mergeCell ref="E163:F163"/>
    <mergeCell ref="B40:C40"/>
    <mergeCell ref="B55:C55"/>
    <mergeCell ref="E91:F91"/>
    <mergeCell ref="B64:C64"/>
    <mergeCell ref="E100:F100"/>
    <mergeCell ref="B51:C51"/>
    <mergeCell ref="E136:F136"/>
    <mergeCell ref="E75:F75"/>
    <mergeCell ref="E115:F115"/>
    <mergeCell ref="E146:F146"/>
    <mergeCell ref="B91:C91"/>
    <mergeCell ref="B100:C100"/>
    <mergeCell ref="E139:F139"/>
    <mergeCell ref="E62:F62"/>
    <mergeCell ref="E111:F111"/>
    <mergeCell ref="E126:F126"/>
    <mergeCell ref="E138:F138"/>
    <mergeCell ref="B136:C136"/>
    <mergeCell ref="B111:C111"/>
    <mergeCell ref="E74:F74"/>
    <mergeCell ref="E64:F64"/>
    <mergeCell ref="E79:F79"/>
    <mergeCell ref="E51:F51"/>
    <mergeCell ref="B86:C86"/>
    <mergeCell ref="B63:C63"/>
    <mergeCell ref="E31:F31"/>
    <mergeCell ref="B14:C14"/>
    <mergeCell ref="E148:F148"/>
    <mergeCell ref="B38:C38"/>
    <mergeCell ref="B78:C78"/>
    <mergeCell ref="E99:F99"/>
    <mergeCell ref="B112:C112"/>
    <mergeCell ref="E27:F27"/>
    <mergeCell ref="B127:C127"/>
    <mergeCell ref="B39:C39"/>
    <mergeCell ref="E19:F19"/>
    <mergeCell ref="E28:F28"/>
  </mergeCells>
  <pageMargins left="0.25" right="0.25" top="0.75" bottom="0.75" header="0.3" footer="0.3"/>
  <pageSetup scale="17" orientation="landscape"/>
  <drawing r:id="rId1"/>
  <tableParts count="3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B1:F181"/>
  <sheetViews>
    <sheetView topLeftCell="A176" zoomScaleNormal="100" workbookViewId="0">
      <selection activeCell="F184" sqref="F184"/>
    </sheetView>
  </sheetViews>
  <sheetFormatPr baseColWidth="10" defaultColWidth="8.6640625" defaultRowHeight="15" x14ac:dyDescent="0.2"/>
  <cols>
    <col min="1" max="1" width="2.5" customWidth="1"/>
    <col min="2" max="2" width="41.33203125" customWidth="1"/>
    <col min="3" max="3" width="55.33203125" customWidth="1"/>
    <col min="5" max="5" width="41.33203125" customWidth="1"/>
    <col min="6" max="6" width="55.33203125" customWidth="1"/>
  </cols>
  <sheetData>
    <row r="1" spans="2:6" ht="16" customHeight="1" thickBot="1" x14ac:dyDescent="0.25"/>
    <row r="2" spans="2:6" ht="19" customHeight="1" x14ac:dyDescent="0.2">
      <c r="B2" s="115" t="str">
        <f>Header!B3</f>
        <v>[SCHOOL NAME]</v>
      </c>
      <c r="C2" s="116"/>
      <c r="E2" s="115" t="str">
        <f>Header!B3</f>
        <v>[SCHOOL NAME]</v>
      </c>
      <c r="F2" s="116"/>
    </row>
    <row r="3" spans="2:6" ht="19" customHeight="1" x14ac:dyDescent="0.2">
      <c r="B3" s="117" t="str">
        <f>Header!B4</f>
        <v>[ADDRESS]</v>
      </c>
      <c r="C3" s="118"/>
      <c r="E3" s="117" t="str">
        <f>Header!B4</f>
        <v>[ADDRESS]</v>
      </c>
      <c r="F3" s="118"/>
    </row>
    <row r="4" spans="2:6" ht="19" customHeight="1" x14ac:dyDescent="0.2">
      <c r="B4" s="117" t="str">
        <f>Header!B5</f>
        <v>[CITY, STATE ZIP]</v>
      </c>
      <c r="C4" s="118"/>
      <c r="E4" s="117" t="str">
        <f>Header!B5</f>
        <v>[CITY, STATE ZIP]</v>
      </c>
      <c r="F4" s="118"/>
    </row>
    <row r="5" spans="2:6" x14ac:dyDescent="0.2">
      <c r="B5" s="4"/>
      <c r="C5" s="6"/>
      <c r="E5" s="4"/>
      <c r="F5" s="6"/>
    </row>
    <row r="6" spans="2:6" ht="17" customHeight="1" thickBot="1" x14ac:dyDescent="0.25">
      <c r="B6" s="114"/>
      <c r="C6" s="105"/>
      <c r="E6" s="114"/>
      <c r="F6" s="105"/>
    </row>
    <row r="7" spans="2:6" ht="17" customHeight="1" thickBot="1" x14ac:dyDescent="0.25">
      <c r="B7" s="103">
        <f>Master!C29</f>
        <v>0</v>
      </c>
      <c r="C7" s="105"/>
      <c r="E7" s="103">
        <f>Master!C30</f>
        <v>0</v>
      </c>
      <c r="F7" s="105"/>
    </row>
    <row r="8" spans="2:6" ht="27" customHeight="1" thickBot="1" x14ac:dyDescent="0.25">
      <c r="B8" s="7" t="s">
        <v>0</v>
      </c>
      <c r="C8" s="1" t="s">
        <v>2</v>
      </c>
      <c r="E8" s="7" t="s">
        <v>0</v>
      </c>
      <c r="F8" s="1" t="s">
        <v>2</v>
      </c>
    </row>
    <row r="9" spans="2:6" ht="60" customHeight="1" x14ac:dyDescent="0.2">
      <c r="B9" s="5" t="s">
        <v>707</v>
      </c>
      <c r="C9" s="5">
        <f>Master!D29</f>
        <v>0</v>
      </c>
      <c r="E9" s="5" t="s">
        <v>707</v>
      </c>
      <c r="F9" s="5">
        <f>Master!D30</f>
        <v>0</v>
      </c>
    </row>
    <row r="10" spans="2:6" ht="60" customHeight="1" x14ac:dyDescent="0.2">
      <c r="B10" s="5" t="s">
        <v>708</v>
      </c>
      <c r="C10" s="8">
        <f>Master!E29</f>
        <v>0</v>
      </c>
      <c r="E10" s="5" t="s">
        <v>708</v>
      </c>
      <c r="F10" s="8">
        <f>Master!E30</f>
        <v>0</v>
      </c>
    </row>
    <row r="11" spans="2:6" ht="60" customHeight="1" x14ac:dyDescent="0.2">
      <c r="B11" s="5" t="s">
        <v>709</v>
      </c>
      <c r="C11" s="8">
        <f>Master!F29</f>
        <v>0</v>
      </c>
      <c r="E11" s="5" t="s">
        <v>709</v>
      </c>
      <c r="F11" s="8">
        <f>Master!F30</f>
        <v>0</v>
      </c>
    </row>
    <row r="12" spans="2:6" ht="65.75" customHeight="1" x14ac:dyDescent="0.2">
      <c r="B12" s="5" t="s">
        <v>710</v>
      </c>
      <c r="C12" s="8">
        <f>Master!G29</f>
        <v>0</v>
      </c>
      <c r="E12" s="5" t="s">
        <v>710</v>
      </c>
      <c r="F12" s="8">
        <f>Master!G30</f>
        <v>0</v>
      </c>
    </row>
    <row r="13" spans="2:6" ht="65.75" customHeight="1" thickBot="1" x14ac:dyDescent="0.25">
      <c r="B13" s="5"/>
      <c r="C13" s="20"/>
      <c r="E13" s="5"/>
      <c r="F13" s="20"/>
    </row>
    <row r="14" spans="2:6" ht="19" customHeight="1" x14ac:dyDescent="0.2">
      <c r="B14" s="115" t="str">
        <f>Header!B3</f>
        <v>[SCHOOL NAME]</v>
      </c>
      <c r="C14" s="116"/>
      <c r="E14" s="115" t="str">
        <f>Header!B3</f>
        <v>[SCHOOL NAME]</v>
      </c>
      <c r="F14" s="116"/>
    </row>
    <row r="15" spans="2:6" ht="19" customHeight="1" x14ac:dyDescent="0.2">
      <c r="B15" s="117" t="str">
        <f>Header!B4</f>
        <v>[ADDRESS]</v>
      </c>
      <c r="C15" s="118"/>
      <c r="E15" s="117" t="str">
        <f>Header!B4</f>
        <v>[ADDRESS]</v>
      </c>
      <c r="F15" s="118"/>
    </row>
    <row r="16" spans="2:6" ht="19" customHeight="1" x14ac:dyDescent="0.2">
      <c r="B16" s="117" t="str">
        <f>Header!B5</f>
        <v>[CITY, STATE ZIP]</v>
      </c>
      <c r="C16" s="118"/>
      <c r="E16" s="117" t="str">
        <f>Header!B5</f>
        <v>[CITY, STATE ZIP]</v>
      </c>
      <c r="F16" s="118"/>
    </row>
    <row r="17" spans="2:6" x14ac:dyDescent="0.2">
      <c r="B17" s="4"/>
      <c r="C17" s="6"/>
      <c r="E17" s="4"/>
      <c r="F17" s="6"/>
    </row>
    <row r="18" spans="2:6" ht="17" customHeight="1" thickBot="1" x14ac:dyDescent="0.25">
      <c r="B18" s="114"/>
      <c r="C18" s="105"/>
      <c r="E18" s="114"/>
      <c r="F18" s="105"/>
    </row>
    <row r="19" spans="2:6" ht="17" customHeight="1" thickBot="1" x14ac:dyDescent="0.25">
      <c r="B19" s="103">
        <f>Master!C31</f>
        <v>0</v>
      </c>
      <c r="C19" s="105"/>
      <c r="E19" s="103">
        <f>Master!C32</f>
        <v>0</v>
      </c>
      <c r="F19" s="105"/>
    </row>
    <row r="20" spans="2:6" ht="27" customHeight="1" thickBot="1" x14ac:dyDescent="0.25">
      <c r="B20" s="7" t="s">
        <v>0</v>
      </c>
      <c r="C20" s="1" t="s">
        <v>2</v>
      </c>
      <c r="E20" s="7" t="s">
        <v>0</v>
      </c>
      <c r="F20" s="1" t="s">
        <v>2</v>
      </c>
    </row>
    <row r="21" spans="2:6" ht="60" customHeight="1" x14ac:dyDescent="0.2">
      <c r="B21" s="5" t="s">
        <v>707</v>
      </c>
      <c r="C21" s="5">
        <f>Master!D31</f>
        <v>0</v>
      </c>
      <c r="E21" s="5" t="s">
        <v>707</v>
      </c>
      <c r="F21" s="5">
        <f>Master!D32</f>
        <v>0</v>
      </c>
    </row>
    <row r="22" spans="2:6" ht="60" customHeight="1" x14ac:dyDescent="0.2">
      <c r="B22" s="5" t="s">
        <v>708</v>
      </c>
      <c r="C22" s="8">
        <f>Master!E31</f>
        <v>0</v>
      </c>
      <c r="E22" s="5" t="s">
        <v>708</v>
      </c>
      <c r="F22" s="8">
        <f>Master!E32</f>
        <v>0</v>
      </c>
    </row>
    <row r="23" spans="2:6" ht="60" customHeight="1" x14ac:dyDescent="0.2">
      <c r="B23" s="5" t="s">
        <v>709</v>
      </c>
      <c r="C23" s="8">
        <f>Master!F31</f>
        <v>0</v>
      </c>
      <c r="E23" s="5" t="s">
        <v>709</v>
      </c>
      <c r="F23" s="8">
        <f>Master!F32</f>
        <v>0</v>
      </c>
    </row>
    <row r="24" spans="2:6" ht="65.75" customHeight="1" x14ac:dyDescent="0.2">
      <c r="B24" s="5" t="s">
        <v>710</v>
      </c>
      <c r="C24" s="8">
        <f>Master!G31</f>
        <v>0</v>
      </c>
      <c r="E24" s="5" t="s">
        <v>710</v>
      </c>
      <c r="F24" s="8">
        <f>Master!G32</f>
        <v>0</v>
      </c>
    </row>
    <row r="25" spans="2:6" ht="65.75" customHeight="1" thickBot="1" x14ac:dyDescent="0.25">
      <c r="B25" s="5"/>
      <c r="C25" s="20"/>
      <c r="E25" s="5"/>
      <c r="F25" s="20"/>
    </row>
    <row r="26" spans="2:6" ht="19" customHeight="1" x14ac:dyDescent="0.2">
      <c r="B26" s="115" t="str">
        <f>Header!B3</f>
        <v>[SCHOOL NAME]</v>
      </c>
      <c r="C26" s="116"/>
      <c r="E26" s="115" t="str">
        <f>Header!B3</f>
        <v>[SCHOOL NAME]</v>
      </c>
      <c r="F26" s="116"/>
    </row>
    <row r="27" spans="2:6" ht="19" customHeight="1" x14ac:dyDescent="0.2">
      <c r="B27" s="117" t="str">
        <f>Header!B4</f>
        <v>[ADDRESS]</v>
      </c>
      <c r="C27" s="118"/>
      <c r="E27" s="117" t="str">
        <f>Header!B4</f>
        <v>[ADDRESS]</v>
      </c>
      <c r="F27" s="118"/>
    </row>
    <row r="28" spans="2:6" ht="19" customHeight="1" x14ac:dyDescent="0.2">
      <c r="B28" s="117" t="str">
        <f>Header!B5</f>
        <v>[CITY, STATE ZIP]</v>
      </c>
      <c r="C28" s="118"/>
      <c r="E28" s="117" t="str">
        <f>Header!B5</f>
        <v>[CITY, STATE ZIP]</v>
      </c>
      <c r="F28" s="118"/>
    </row>
    <row r="29" spans="2:6" x14ac:dyDescent="0.2">
      <c r="B29" s="4"/>
      <c r="C29" s="6"/>
      <c r="E29" s="4"/>
      <c r="F29" s="6"/>
    </row>
    <row r="30" spans="2:6" ht="17" customHeight="1" thickBot="1" x14ac:dyDescent="0.25">
      <c r="B30" s="114"/>
      <c r="C30" s="105"/>
      <c r="E30" s="114"/>
      <c r="F30" s="105"/>
    </row>
    <row r="31" spans="2:6" ht="17" customHeight="1" thickBot="1" x14ac:dyDescent="0.25">
      <c r="B31" s="103">
        <f>Master!C34</f>
        <v>0</v>
      </c>
      <c r="C31" s="105"/>
      <c r="E31" s="103">
        <f>Master!C35</f>
        <v>0</v>
      </c>
      <c r="F31" s="105"/>
    </row>
    <row r="32" spans="2:6" ht="27" customHeight="1" thickBot="1" x14ac:dyDescent="0.25">
      <c r="B32" s="7" t="s">
        <v>0</v>
      </c>
      <c r="C32" s="1" t="s">
        <v>2</v>
      </c>
      <c r="E32" s="7" t="s">
        <v>0</v>
      </c>
      <c r="F32" s="1" t="s">
        <v>2</v>
      </c>
    </row>
    <row r="33" spans="2:6" ht="60" customHeight="1" x14ac:dyDescent="0.2">
      <c r="B33" s="5" t="s">
        <v>707</v>
      </c>
      <c r="C33" s="5">
        <f>Master!D34</f>
        <v>0</v>
      </c>
      <c r="E33" s="5" t="s">
        <v>707</v>
      </c>
      <c r="F33" s="5">
        <f>Master!D35</f>
        <v>0</v>
      </c>
    </row>
    <row r="34" spans="2:6" ht="60" customHeight="1" x14ac:dyDescent="0.2">
      <c r="B34" s="5" t="s">
        <v>708</v>
      </c>
      <c r="C34" s="8">
        <f>Master!E34</f>
        <v>0</v>
      </c>
      <c r="E34" s="5" t="s">
        <v>708</v>
      </c>
      <c r="F34" s="8">
        <f>Master!E35</f>
        <v>0</v>
      </c>
    </row>
    <row r="35" spans="2:6" ht="60" customHeight="1" x14ac:dyDescent="0.2">
      <c r="B35" s="5" t="s">
        <v>709</v>
      </c>
      <c r="C35" s="8">
        <f>Master!F34</f>
        <v>0</v>
      </c>
      <c r="E35" s="5" t="s">
        <v>709</v>
      </c>
      <c r="F35" s="8">
        <f>Master!F35</f>
        <v>0</v>
      </c>
    </row>
    <row r="36" spans="2:6" ht="65.75" customHeight="1" x14ac:dyDescent="0.2">
      <c r="B36" s="5" t="s">
        <v>710</v>
      </c>
      <c r="C36" s="8">
        <f>Master!G34</f>
        <v>0</v>
      </c>
      <c r="E36" s="5" t="s">
        <v>710</v>
      </c>
      <c r="F36" s="8">
        <f>Master!G35</f>
        <v>0</v>
      </c>
    </row>
    <row r="37" spans="2:6" ht="16" customHeight="1" thickBot="1" x14ac:dyDescent="0.25"/>
    <row r="38" spans="2:6" ht="19" customHeight="1" x14ac:dyDescent="0.2">
      <c r="B38" s="115">
        <f>Header!B39</f>
        <v>0</v>
      </c>
      <c r="C38" s="116"/>
      <c r="E38" s="115">
        <f>Header!B39</f>
        <v>0</v>
      </c>
      <c r="F38" s="116"/>
    </row>
    <row r="39" spans="2:6" ht="19" customHeight="1" x14ac:dyDescent="0.2">
      <c r="B39" s="117">
        <f>Header!B40</f>
        <v>0</v>
      </c>
      <c r="C39" s="118"/>
      <c r="E39" s="117">
        <f>Header!B40</f>
        <v>0</v>
      </c>
      <c r="F39" s="118"/>
    </row>
    <row r="40" spans="2:6" ht="19" customHeight="1" x14ac:dyDescent="0.2">
      <c r="B40" s="117">
        <f>Header!B41</f>
        <v>0</v>
      </c>
      <c r="C40" s="118"/>
      <c r="E40" s="117">
        <f>Header!B41</f>
        <v>0</v>
      </c>
      <c r="F40" s="118"/>
    </row>
    <row r="41" spans="2:6" x14ac:dyDescent="0.2">
      <c r="B41" s="4"/>
      <c r="C41" s="6"/>
      <c r="E41" s="4"/>
      <c r="F41" s="6"/>
    </row>
    <row r="42" spans="2:6" ht="17" customHeight="1" thickBot="1" x14ac:dyDescent="0.25">
      <c r="B42" s="114"/>
      <c r="C42" s="105"/>
      <c r="E42" s="114"/>
      <c r="F42" s="105"/>
    </row>
    <row r="43" spans="2:6" ht="17" customHeight="1" thickBot="1" x14ac:dyDescent="0.25">
      <c r="B43" s="103">
        <f>Master!C36</f>
        <v>0</v>
      </c>
      <c r="C43" s="105"/>
      <c r="E43" s="103">
        <f>Master!C37</f>
        <v>0</v>
      </c>
      <c r="F43" s="105"/>
    </row>
    <row r="44" spans="2:6" ht="27" customHeight="1" thickBot="1" x14ac:dyDescent="0.25">
      <c r="B44" s="7" t="s">
        <v>0</v>
      </c>
      <c r="C44" s="1" t="s">
        <v>2</v>
      </c>
      <c r="E44" s="7" t="s">
        <v>0</v>
      </c>
      <c r="F44" s="1" t="s">
        <v>2</v>
      </c>
    </row>
    <row r="45" spans="2:6" ht="60" customHeight="1" x14ac:dyDescent="0.2">
      <c r="B45" s="5" t="s">
        <v>707</v>
      </c>
      <c r="C45" s="5">
        <f>Master!D36</f>
        <v>0</v>
      </c>
      <c r="E45" s="5" t="s">
        <v>707</v>
      </c>
      <c r="F45" s="5">
        <f>Master!D37</f>
        <v>0</v>
      </c>
    </row>
    <row r="46" spans="2:6" ht="60" customHeight="1" x14ac:dyDescent="0.2">
      <c r="B46" s="5" t="s">
        <v>708</v>
      </c>
      <c r="C46" s="8">
        <f>Master!E36</f>
        <v>0</v>
      </c>
      <c r="E46" s="5" t="s">
        <v>708</v>
      </c>
      <c r="F46" s="8">
        <f>Master!E37</f>
        <v>0</v>
      </c>
    </row>
    <row r="47" spans="2:6" ht="60" customHeight="1" x14ac:dyDescent="0.2">
      <c r="B47" s="5" t="s">
        <v>709</v>
      </c>
      <c r="C47" s="8">
        <f>Master!F36</f>
        <v>0</v>
      </c>
      <c r="E47" s="5" t="s">
        <v>709</v>
      </c>
      <c r="F47" s="8">
        <f>Master!F37</f>
        <v>0</v>
      </c>
    </row>
    <row r="48" spans="2:6" ht="65.75" customHeight="1" x14ac:dyDescent="0.2">
      <c r="B48" s="5" t="s">
        <v>710</v>
      </c>
      <c r="C48" s="8">
        <f>Master!G36</f>
        <v>0</v>
      </c>
      <c r="E48" s="5" t="s">
        <v>710</v>
      </c>
      <c r="F48" s="8">
        <f>Master!G37</f>
        <v>0</v>
      </c>
    </row>
    <row r="49" spans="2:6" ht="65.75" customHeight="1" thickBot="1" x14ac:dyDescent="0.25">
      <c r="B49" s="5"/>
      <c r="C49" s="20"/>
      <c r="E49" s="5"/>
      <c r="F49" s="20"/>
    </row>
    <row r="50" spans="2:6" ht="19" customHeight="1" x14ac:dyDescent="0.2">
      <c r="B50" s="115">
        <f>Header!B39</f>
        <v>0</v>
      </c>
      <c r="C50" s="116"/>
      <c r="E50" s="115">
        <f>Header!B39</f>
        <v>0</v>
      </c>
      <c r="F50" s="116"/>
    </row>
    <row r="51" spans="2:6" ht="19" customHeight="1" x14ac:dyDescent="0.2">
      <c r="B51" s="117">
        <f>Header!B40</f>
        <v>0</v>
      </c>
      <c r="C51" s="118"/>
      <c r="E51" s="117">
        <f>Header!B40</f>
        <v>0</v>
      </c>
      <c r="F51" s="118"/>
    </row>
    <row r="52" spans="2:6" ht="19" customHeight="1" x14ac:dyDescent="0.2">
      <c r="B52" s="117">
        <f>Header!B41</f>
        <v>0</v>
      </c>
      <c r="C52" s="118"/>
      <c r="E52" s="117">
        <f>Header!B41</f>
        <v>0</v>
      </c>
      <c r="F52" s="118"/>
    </row>
    <row r="53" spans="2:6" x14ac:dyDescent="0.2">
      <c r="B53" s="4"/>
      <c r="C53" s="6"/>
      <c r="E53" s="4"/>
      <c r="F53" s="6"/>
    </row>
    <row r="54" spans="2:6" ht="17" customHeight="1" thickBot="1" x14ac:dyDescent="0.25">
      <c r="B54" s="114"/>
      <c r="C54" s="105"/>
      <c r="E54" s="114"/>
      <c r="F54" s="105"/>
    </row>
    <row r="55" spans="2:6" ht="17" customHeight="1" thickBot="1" x14ac:dyDescent="0.25">
      <c r="B55" s="103">
        <f>Master!C39</f>
        <v>0</v>
      </c>
      <c r="C55" s="105"/>
      <c r="E55" s="103">
        <f>Master!C40</f>
        <v>0</v>
      </c>
      <c r="F55" s="105"/>
    </row>
    <row r="56" spans="2:6" ht="27" customHeight="1" thickBot="1" x14ac:dyDescent="0.25">
      <c r="B56" s="7" t="s">
        <v>0</v>
      </c>
      <c r="C56" s="1" t="s">
        <v>2</v>
      </c>
      <c r="E56" s="7" t="s">
        <v>0</v>
      </c>
      <c r="F56" s="1" t="s">
        <v>2</v>
      </c>
    </row>
    <row r="57" spans="2:6" ht="60" customHeight="1" x14ac:dyDescent="0.2">
      <c r="B57" s="5" t="s">
        <v>707</v>
      </c>
      <c r="C57" s="5">
        <f>Master!D39</f>
        <v>0</v>
      </c>
      <c r="E57" s="5" t="s">
        <v>707</v>
      </c>
      <c r="F57" s="5">
        <f>Master!D40</f>
        <v>0</v>
      </c>
    </row>
    <row r="58" spans="2:6" ht="60" customHeight="1" x14ac:dyDescent="0.2">
      <c r="B58" s="5" t="s">
        <v>708</v>
      </c>
      <c r="C58" s="8">
        <f>Master!E39</f>
        <v>0</v>
      </c>
      <c r="E58" s="5" t="s">
        <v>708</v>
      </c>
      <c r="F58" s="8">
        <f>Master!E40</f>
        <v>0</v>
      </c>
    </row>
    <row r="59" spans="2:6" ht="60" customHeight="1" x14ac:dyDescent="0.2">
      <c r="B59" s="5" t="s">
        <v>709</v>
      </c>
      <c r="C59" s="8">
        <f>Master!F39</f>
        <v>0</v>
      </c>
      <c r="E59" s="5" t="s">
        <v>709</v>
      </c>
      <c r="F59" s="8">
        <f>Master!F40</f>
        <v>0</v>
      </c>
    </row>
    <row r="60" spans="2:6" ht="65.75" customHeight="1" x14ac:dyDescent="0.2">
      <c r="B60" s="5" t="s">
        <v>710</v>
      </c>
      <c r="C60" s="8">
        <f>Master!G39</f>
        <v>0</v>
      </c>
      <c r="E60" s="5" t="s">
        <v>710</v>
      </c>
      <c r="F60" s="8">
        <f>Master!G40</f>
        <v>0</v>
      </c>
    </row>
    <row r="61" spans="2:6" ht="65.75" customHeight="1" thickBot="1" x14ac:dyDescent="0.25">
      <c r="B61" s="5"/>
      <c r="C61" s="20"/>
      <c r="E61" s="5"/>
      <c r="F61" s="20"/>
    </row>
    <row r="62" spans="2:6" ht="19" customHeight="1" x14ac:dyDescent="0.2">
      <c r="B62" s="115">
        <f>Header!B39</f>
        <v>0</v>
      </c>
      <c r="C62" s="116"/>
      <c r="E62" s="115">
        <f>Header!B39</f>
        <v>0</v>
      </c>
      <c r="F62" s="116"/>
    </row>
    <row r="63" spans="2:6" ht="19" customHeight="1" x14ac:dyDescent="0.2">
      <c r="B63" s="117">
        <f>Header!B40</f>
        <v>0</v>
      </c>
      <c r="C63" s="118"/>
      <c r="E63" s="117">
        <f>Header!B40</f>
        <v>0</v>
      </c>
      <c r="F63" s="118"/>
    </row>
    <row r="64" spans="2:6" ht="19" customHeight="1" x14ac:dyDescent="0.2">
      <c r="B64" s="117">
        <f>Header!B41</f>
        <v>0</v>
      </c>
      <c r="C64" s="118"/>
      <c r="E64" s="117">
        <f>Header!B41</f>
        <v>0</v>
      </c>
      <c r="F64" s="118"/>
    </row>
    <row r="65" spans="2:6" x14ac:dyDescent="0.2">
      <c r="B65" s="4"/>
      <c r="C65" s="6"/>
      <c r="E65" s="4"/>
      <c r="F65" s="6"/>
    </row>
    <row r="66" spans="2:6" ht="17" customHeight="1" thickBot="1" x14ac:dyDescent="0.25">
      <c r="B66" s="114"/>
      <c r="C66" s="105"/>
      <c r="E66" s="114"/>
      <c r="F66" s="105"/>
    </row>
    <row r="67" spans="2:6" ht="17" customHeight="1" thickBot="1" x14ac:dyDescent="0.25">
      <c r="B67" s="103">
        <f>Master!C41</f>
        <v>0</v>
      </c>
      <c r="C67" s="105"/>
      <c r="E67" s="103">
        <f>Master!C42</f>
        <v>0</v>
      </c>
      <c r="F67" s="105"/>
    </row>
    <row r="68" spans="2:6" ht="27" customHeight="1" thickBot="1" x14ac:dyDescent="0.25">
      <c r="B68" s="7" t="s">
        <v>0</v>
      </c>
      <c r="C68" s="1" t="s">
        <v>2</v>
      </c>
      <c r="E68" s="7" t="s">
        <v>0</v>
      </c>
      <c r="F68" s="1" t="s">
        <v>2</v>
      </c>
    </row>
    <row r="69" spans="2:6" ht="60" customHeight="1" x14ac:dyDescent="0.2">
      <c r="B69" s="5" t="s">
        <v>707</v>
      </c>
      <c r="C69" s="5">
        <f>Master!D41</f>
        <v>0</v>
      </c>
      <c r="E69" s="5" t="s">
        <v>707</v>
      </c>
      <c r="F69" s="5">
        <f>Master!D42</f>
        <v>0</v>
      </c>
    </row>
    <row r="70" spans="2:6" ht="60" customHeight="1" x14ac:dyDescent="0.2">
      <c r="B70" s="5" t="s">
        <v>708</v>
      </c>
      <c r="C70" s="8">
        <f>Master!E41</f>
        <v>0</v>
      </c>
      <c r="E70" s="5" t="s">
        <v>708</v>
      </c>
      <c r="F70" s="8">
        <f>Master!E42</f>
        <v>0</v>
      </c>
    </row>
    <row r="71" spans="2:6" ht="60" customHeight="1" x14ac:dyDescent="0.2">
      <c r="B71" s="5" t="s">
        <v>709</v>
      </c>
      <c r="C71" s="8">
        <f>Master!F41</f>
        <v>0</v>
      </c>
      <c r="E71" s="5" t="s">
        <v>709</v>
      </c>
      <c r="F71" s="8">
        <f>Master!F42</f>
        <v>0</v>
      </c>
    </row>
    <row r="72" spans="2:6" ht="65.75" customHeight="1" x14ac:dyDescent="0.2">
      <c r="B72" s="5" t="s">
        <v>710</v>
      </c>
      <c r="C72" s="8">
        <f>Master!G41</f>
        <v>0</v>
      </c>
      <c r="E72" s="5" t="s">
        <v>710</v>
      </c>
      <c r="F72" s="8">
        <f>Master!G42</f>
        <v>0</v>
      </c>
    </row>
    <row r="73" spans="2:6" ht="16" customHeight="1" thickBot="1" x14ac:dyDescent="0.25"/>
    <row r="74" spans="2:6" ht="19" customHeight="1" x14ac:dyDescent="0.2">
      <c r="B74" s="115">
        <f>Header!B75</f>
        <v>0</v>
      </c>
      <c r="C74" s="116"/>
      <c r="E74" s="115">
        <f>Header!B75</f>
        <v>0</v>
      </c>
      <c r="F74" s="116"/>
    </row>
    <row r="75" spans="2:6" ht="19" customHeight="1" x14ac:dyDescent="0.2">
      <c r="B75" s="117">
        <f>Header!B76</f>
        <v>0</v>
      </c>
      <c r="C75" s="118"/>
      <c r="E75" s="117">
        <f>Header!B76</f>
        <v>0</v>
      </c>
      <c r="F75" s="118"/>
    </row>
    <row r="76" spans="2:6" ht="19" customHeight="1" x14ac:dyDescent="0.2">
      <c r="B76" s="117">
        <f>Header!B77</f>
        <v>0</v>
      </c>
      <c r="C76" s="118"/>
      <c r="E76" s="117">
        <f>Header!B77</f>
        <v>0</v>
      </c>
      <c r="F76" s="118"/>
    </row>
    <row r="77" spans="2:6" x14ac:dyDescent="0.2">
      <c r="B77" s="4"/>
      <c r="C77" s="6"/>
      <c r="E77" s="4"/>
      <c r="F77" s="6"/>
    </row>
    <row r="78" spans="2:6" ht="17" customHeight="1" thickBot="1" x14ac:dyDescent="0.25">
      <c r="B78" s="114"/>
      <c r="C78" s="105"/>
      <c r="E78" s="114"/>
      <c r="F78" s="105"/>
    </row>
    <row r="79" spans="2:6" ht="17" customHeight="1" thickBot="1" x14ac:dyDescent="0.25">
      <c r="B79" s="103">
        <f>Master!C44</f>
        <v>0</v>
      </c>
      <c r="C79" s="105"/>
      <c r="E79" s="103">
        <f>Master!C45</f>
        <v>0</v>
      </c>
      <c r="F79" s="105"/>
    </row>
    <row r="80" spans="2:6" ht="27" customHeight="1" thickBot="1" x14ac:dyDescent="0.25">
      <c r="B80" s="7" t="s">
        <v>0</v>
      </c>
      <c r="C80" s="1" t="s">
        <v>2</v>
      </c>
      <c r="E80" s="7" t="s">
        <v>0</v>
      </c>
      <c r="F80" s="1" t="s">
        <v>2</v>
      </c>
    </row>
    <row r="81" spans="2:6" ht="60" customHeight="1" x14ac:dyDescent="0.2">
      <c r="B81" s="5" t="s">
        <v>707</v>
      </c>
      <c r="C81" s="5">
        <f>Master!D44</f>
        <v>0</v>
      </c>
      <c r="E81" s="5" t="s">
        <v>707</v>
      </c>
      <c r="F81" s="5">
        <f>Master!D45</f>
        <v>0</v>
      </c>
    </row>
    <row r="82" spans="2:6" ht="60" customHeight="1" x14ac:dyDescent="0.2">
      <c r="B82" s="5" t="s">
        <v>708</v>
      </c>
      <c r="C82" s="8">
        <f>Master!E44</f>
        <v>0</v>
      </c>
      <c r="E82" s="5" t="s">
        <v>708</v>
      </c>
      <c r="F82" s="8">
        <f>Master!E45</f>
        <v>0</v>
      </c>
    </row>
    <row r="83" spans="2:6" ht="60" customHeight="1" x14ac:dyDescent="0.2">
      <c r="B83" s="5" t="s">
        <v>709</v>
      </c>
      <c r="C83" s="8">
        <f>Master!F44</f>
        <v>0</v>
      </c>
      <c r="E83" s="5" t="s">
        <v>709</v>
      </c>
      <c r="F83" s="8">
        <f>Master!F45</f>
        <v>0</v>
      </c>
    </row>
    <row r="84" spans="2:6" ht="65.75" customHeight="1" x14ac:dyDescent="0.2">
      <c r="B84" s="5" t="s">
        <v>710</v>
      </c>
      <c r="C84" s="8">
        <f>Master!G44</f>
        <v>0</v>
      </c>
      <c r="E84" s="5" t="s">
        <v>710</v>
      </c>
      <c r="F84" s="8">
        <f>Master!G45</f>
        <v>0</v>
      </c>
    </row>
    <row r="85" spans="2:6" ht="65.75" customHeight="1" thickBot="1" x14ac:dyDescent="0.25">
      <c r="B85" s="5"/>
      <c r="C85" s="20"/>
      <c r="E85" s="5"/>
      <c r="F85" s="20"/>
    </row>
    <row r="86" spans="2:6" ht="19" customHeight="1" x14ac:dyDescent="0.2">
      <c r="B86" s="115">
        <f>Header!B75</f>
        <v>0</v>
      </c>
      <c r="C86" s="116"/>
      <c r="E86" s="115">
        <f>Header!B75</f>
        <v>0</v>
      </c>
      <c r="F86" s="116"/>
    </row>
    <row r="87" spans="2:6" ht="19" customHeight="1" x14ac:dyDescent="0.2">
      <c r="B87" s="117">
        <f>Header!B76</f>
        <v>0</v>
      </c>
      <c r="C87" s="118"/>
      <c r="E87" s="117">
        <f>Header!B76</f>
        <v>0</v>
      </c>
      <c r="F87" s="118"/>
    </row>
    <row r="88" spans="2:6" ht="19" customHeight="1" x14ac:dyDescent="0.2">
      <c r="B88" s="117">
        <f>Header!B77</f>
        <v>0</v>
      </c>
      <c r="C88" s="118"/>
      <c r="E88" s="117">
        <f>Header!B77</f>
        <v>0</v>
      </c>
      <c r="F88" s="118"/>
    </row>
    <row r="89" spans="2:6" x14ac:dyDescent="0.2">
      <c r="B89" s="4"/>
      <c r="C89" s="6"/>
      <c r="E89" s="4"/>
      <c r="F89" s="6"/>
    </row>
    <row r="90" spans="2:6" ht="17" customHeight="1" thickBot="1" x14ac:dyDescent="0.25">
      <c r="B90" s="114"/>
      <c r="C90" s="105"/>
      <c r="E90" s="114"/>
      <c r="F90" s="105"/>
    </row>
    <row r="91" spans="2:6" ht="17" customHeight="1" thickBot="1" x14ac:dyDescent="0.25">
      <c r="B91" s="103">
        <f>Master!C46</f>
        <v>0</v>
      </c>
      <c r="C91" s="105"/>
      <c r="E91" s="103">
        <f>Master!C47</f>
        <v>0</v>
      </c>
      <c r="F91" s="105"/>
    </row>
    <row r="92" spans="2:6" ht="27" customHeight="1" thickBot="1" x14ac:dyDescent="0.25">
      <c r="B92" s="7" t="s">
        <v>0</v>
      </c>
      <c r="C92" s="1" t="s">
        <v>2</v>
      </c>
      <c r="E92" s="7" t="s">
        <v>0</v>
      </c>
      <c r="F92" s="1" t="s">
        <v>2</v>
      </c>
    </row>
    <row r="93" spans="2:6" ht="60" customHeight="1" x14ac:dyDescent="0.2">
      <c r="B93" s="5" t="s">
        <v>707</v>
      </c>
      <c r="C93" s="5">
        <f>Master!D46</f>
        <v>0</v>
      </c>
      <c r="E93" s="5" t="s">
        <v>707</v>
      </c>
      <c r="F93" s="5">
        <f>Master!D47</f>
        <v>0</v>
      </c>
    </row>
    <row r="94" spans="2:6" ht="60" customHeight="1" x14ac:dyDescent="0.2">
      <c r="B94" s="5" t="s">
        <v>708</v>
      </c>
      <c r="C94" s="8">
        <f>Master!E46</f>
        <v>0</v>
      </c>
      <c r="E94" s="5" t="s">
        <v>708</v>
      </c>
      <c r="F94" s="8">
        <f>Master!E47</f>
        <v>0</v>
      </c>
    </row>
    <row r="95" spans="2:6" ht="60" customHeight="1" x14ac:dyDescent="0.2">
      <c r="B95" s="5" t="s">
        <v>709</v>
      </c>
      <c r="C95" s="8">
        <f>Master!F46</f>
        <v>0</v>
      </c>
      <c r="E95" s="5" t="s">
        <v>709</v>
      </c>
      <c r="F95" s="8">
        <f>Master!F47</f>
        <v>0</v>
      </c>
    </row>
    <row r="96" spans="2:6" ht="65.75" customHeight="1" x14ac:dyDescent="0.2">
      <c r="B96" s="5" t="s">
        <v>710</v>
      </c>
      <c r="C96" s="8">
        <f>Master!G46</f>
        <v>0</v>
      </c>
      <c r="E96" s="5" t="s">
        <v>710</v>
      </c>
      <c r="F96" s="8">
        <f>Master!G47</f>
        <v>0</v>
      </c>
    </row>
    <row r="97" spans="2:6" ht="65.75" customHeight="1" thickBot="1" x14ac:dyDescent="0.25">
      <c r="B97" s="5"/>
      <c r="C97" s="20"/>
      <c r="E97" s="5"/>
      <c r="F97" s="20"/>
    </row>
    <row r="98" spans="2:6" ht="19" customHeight="1" x14ac:dyDescent="0.2">
      <c r="B98" s="115">
        <f>Header!B75</f>
        <v>0</v>
      </c>
      <c r="C98" s="116"/>
      <c r="E98" s="115">
        <f>Header!B75</f>
        <v>0</v>
      </c>
      <c r="F98" s="116"/>
    </row>
    <row r="99" spans="2:6" ht="19" customHeight="1" x14ac:dyDescent="0.2">
      <c r="B99" s="117">
        <f>Header!B76</f>
        <v>0</v>
      </c>
      <c r="C99" s="118"/>
      <c r="E99" s="117">
        <f>Header!B76</f>
        <v>0</v>
      </c>
      <c r="F99" s="118"/>
    </row>
    <row r="100" spans="2:6" ht="19" customHeight="1" x14ac:dyDescent="0.2">
      <c r="B100" s="117">
        <f>Header!B77</f>
        <v>0</v>
      </c>
      <c r="C100" s="118"/>
      <c r="E100" s="117">
        <f>Header!B77</f>
        <v>0</v>
      </c>
      <c r="F100" s="118"/>
    </row>
    <row r="101" spans="2:6" x14ac:dyDescent="0.2">
      <c r="B101" s="4"/>
      <c r="C101" s="6"/>
      <c r="E101" s="4"/>
      <c r="F101" s="6"/>
    </row>
    <row r="102" spans="2:6" ht="17" customHeight="1" thickBot="1" x14ac:dyDescent="0.25">
      <c r="B102" s="114"/>
      <c r="C102" s="105"/>
      <c r="E102" s="114"/>
      <c r="F102" s="105"/>
    </row>
    <row r="103" spans="2:6" ht="17" customHeight="1" thickBot="1" x14ac:dyDescent="0.25">
      <c r="B103" s="103">
        <f>Master!C49</f>
        <v>0</v>
      </c>
      <c r="C103" s="105"/>
      <c r="E103" s="103">
        <f>Master!C50</f>
        <v>0</v>
      </c>
      <c r="F103" s="105"/>
    </row>
    <row r="104" spans="2:6" ht="27" customHeight="1" thickBot="1" x14ac:dyDescent="0.25">
      <c r="B104" s="7" t="s">
        <v>0</v>
      </c>
      <c r="C104" s="1" t="s">
        <v>2</v>
      </c>
      <c r="E104" s="7" t="s">
        <v>0</v>
      </c>
      <c r="F104" s="1" t="s">
        <v>2</v>
      </c>
    </row>
    <row r="105" spans="2:6" ht="60" customHeight="1" x14ac:dyDescent="0.2">
      <c r="B105" s="5" t="s">
        <v>707</v>
      </c>
      <c r="C105" s="5">
        <f>Master!D49</f>
        <v>0</v>
      </c>
      <c r="E105" s="5" t="s">
        <v>707</v>
      </c>
      <c r="F105" s="5">
        <f>Master!D50</f>
        <v>0</v>
      </c>
    </row>
    <row r="106" spans="2:6" ht="60" customHeight="1" x14ac:dyDescent="0.2">
      <c r="B106" s="5" t="s">
        <v>708</v>
      </c>
      <c r="C106" s="8">
        <f>Master!E49</f>
        <v>0</v>
      </c>
      <c r="E106" s="5" t="s">
        <v>708</v>
      </c>
      <c r="F106" s="8">
        <f>Master!E50</f>
        <v>0</v>
      </c>
    </row>
    <row r="107" spans="2:6" ht="60" customHeight="1" x14ac:dyDescent="0.2">
      <c r="B107" s="5" t="s">
        <v>709</v>
      </c>
      <c r="C107" s="8">
        <f>Master!F49</f>
        <v>0</v>
      </c>
      <c r="E107" s="5" t="s">
        <v>709</v>
      </c>
      <c r="F107" s="8">
        <f>Master!F50</f>
        <v>0</v>
      </c>
    </row>
    <row r="108" spans="2:6" ht="65.75" customHeight="1" x14ac:dyDescent="0.2">
      <c r="B108" s="5" t="s">
        <v>710</v>
      </c>
      <c r="C108" s="8">
        <f>Master!G49</f>
        <v>0</v>
      </c>
      <c r="E108" s="5" t="s">
        <v>710</v>
      </c>
      <c r="F108" s="8">
        <f>Master!G50</f>
        <v>0</v>
      </c>
    </row>
    <row r="109" spans="2:6" ht="16" customHeight="1" thickBot="1" x14ac:dyDescent="0.25"/>
    <row r="110" spans="2:6" ht="19" customHeight="1" x14ac:dyDescent="0.2">
      <c r="B110" s="115">
        <f>Header!B111</f>
        <v>0</v>
      </c>
      <c r="C110" s="116"/>
      <c r="E110" s="115">
        <f>Header!B111</f>
        <v>0</v>
      </c>
      <c r="F110" s="116"/>
    </row>
    <row r="111" spans="2:6" ht="19" customHeight="1" x14ac:dyDescent="0.2">
      <c r="B111" s="117">
        <f>Header!B112</f>
        <v>0</v>
      </c>
      <c r="C111" s="118"/>
      <c r="E111" s="117">
        <f>Header!B112</f>
        <v>0</v>
      </c>
      <c r="F111" s="118"/>
    </row>
    <row r="112" spans="2:6" ht="19" customHeight="1" x14ac:dyDescent="0.2">
      <c r="B112" s="117">
        <f>Header!B113</f>
        <v>0</v>
      </c>
      <c r="C112" s="118"/>
      <c r="E112" s="117">
        <f>Header!B113</f>
        <v>0</v>
      </c>
      <c r="F112" s="118"/>
    </row>
    <row r="113" spans="2:6" x14ac:dyDescent="0.2">
      <c r="B113" s="4"/>
      <c r="C113" s="6"/>
      <c r="E113" s="4"/>
      <c r="F113" s="6"/>
    </row>
    <row r="114" spans="2:6" ht="17" customHeight="1" thickBot="1" x14ac:dyDescent="0.25">
      <c r="B114" s="114"/>
      <c r="C114" s="105"/>
      <c r="E114" s="114"/>
      <c r="F114" s="105"/>
    </row>
    <row r="115" spans="2:6" ht="17" customHeight="1" thickBot="1" x14ac:dyDescent="0.25">
      <c r="B115" s="103">
        <f>Master!C51</f>
        <v>0</v>
      </c>
      <c r="C115" s="105"/>
      <c r="E115" s="103">
        <f>Master!C52</f>
        <v>0</v>
      </c>
      <c r="F115" s="105"/>
    </row>
    <row r="116" spans="2:6" ht="27" customHeight="1" thickBot="1" x14ac:dyDescent="0.25">
      <c r="B116" s="7" t="s">
        <v>0</v>
      </c>
      <c r="C116" s="1" t="s">
        <v>2</v>
      </c>
      <c r="E116" s="7" t="s">
        <v>0</v>
      </c>
      <c r="F116" s="1" t="s">
        <v>2</v>
      </c>
    </row>
    <row r="117" spans="2:6" ht="60" customHeight="1" x14ac:dyDescent="0.2">
      <c r="B117" s="5" t="s">
        <v>707</v>
      </c>
      <c r="C117" s="5">
        <f>Master!D51</f>
        <v>0</v>
      </c>
      <c r="E117" s="5" t="s">
        <v>707</v>
      </c>
      <c r="F117" s="5">
        <f>Master!D52</f>
        <v>0</v>
      </c>
    </row>
    <row r="118" spans="2:6" ht="60" customHeight="1" x14ac:dyDescent="0.2">
      <c r="B118" s="5" t="s">
        <v>708</v>
      </c>
      <c r="C118" s="8">
        <f>Master!E51</f>
        <v>0</v>
      </c>
      <c r="E118" s="5" t="s">
        <v>708</v>
      </c>
      <c r="F118" s="8">
        <f>Master!E52</f>
        <v>0</v>
      </c>
    </row>
    <row r="119" spans="2:6" ht="60" customHeight="1" x14ac:dyDescent="0.2">
      <c r="B119" s="5" t="s">
        <v>709</v>
      </c>
      <c r="C119" s="8">
        <f>Master!F51</f>
        <v>0</v>
      </c>
      <c r="E119" s="5" t="s">
        <v>709</v>
      </c>
      <c r="F119" s="8">
        <f>Master!F52</f>
        <v>0</v>
      </c>
    </row>
    <row r="120" spans="2:6" ht="65.75" customHeight="1" x14ac:dyDescent="0.2">
      <c r="B120" s="5" t="s">
        <v>710</v>
      </c>
      <c r="C120" s="8">
        <f>Master!G51</f>
        <v>0</v>
      </c>
      <c r="E120" s="5" t="s">
        <v>710</v>
      </c>
      <c r="F120" s="8">
        <f>Master!G52</f>
        <v>0</v>
      </c>
    </row>
    <row r="121" spans="2:6" ht="65.75" customHeight="1" thickBot="1" x14ac:dyDescent="0.25">
      <c r="B121" s="5"/>
      <c r="C121" s="20"/>
      <c r="E121" s="5"/>
      <c r="F121" s="20"/>
    </row>
    <row r="122" spans="2:6" ht="19" customHeight="1" x14ac:dyDescent="0.2">
      <c r="B122" s="115">
        <f>Header!B111</f>
        <v>0</v>
      </c>
      <c r="C122" s="116"/>
      <c r="E122" s="115">
        <f>Header!B111</f>
        <v>0</v>
      </c>
      <c r="F122" s="116"/>
    </row>
    <row r="123" spans="2:6" ht="19" customHeight="1" x14ac:dyDescent="0.2">
      <c r="B123" s="117">
        <f>Header!B112</f>
        <v>0</v>
      </c>
      <c r="C123" s="118"/>
      <c r="E123" s="117">
        <f>Header!B112</f>
        <v>0</v>
      </c>
      <c r="F123" s="118"/>
    </row>
    <row r="124" spans="2:6" ht="19" customHeight="1" x14ac:dyDescent="0.2">
      <c r="B124" s="117">
        <f>Header!B113</f>
        <v>0</v>
      </c>
      <c r="C124" s="118"/>
      <c r="E124" s="117">
        <f>Header!B113</f>
        <v>0</v>
      </c>
      <c r="F124" s="118"/>
    </row>
    <row r="125" spans="2:6" x14ac:dyDescent="0.2">
      <c r="B125" s="4"/>
      <c r="C125" s="6"/>
      <c r="E125" s="4"/>
      <c r="F125" s="6"/>
    </row>
    <row r="126" spans="2:6" ht="17" customHeight="1" thickBot="1" x14ac:dyDescent="0.25">
      <c r="B126" s="114"/>
      <c r="C126" s="105"/>
      <c r="E126" s="114"/>
      <c r="F126" s="105"/>
    </row>
    <row r="127" spans="2:6" ht="17" customHeight="1" thickBot="1" x14ac:dyDescent="0.25">
      <c r="B127" s="103">
        <f>Master!C54</f>
        <v>0</v>
      </c>
      <c r="C127" s="105"/>
      <c r="E127" s="103">
        <f>Master!C55</f>
        <v>0</v>
      </c>
      <c r="F127" s="105"/>
    </row>
    <row r="128" spans="2:6" ht="27" customHeight="1" thickBot="1" x14ac:dyDescent="0.25">
      <c r="B128" s="7" t="s">
        <v>0</v>
      </c>
      <c r="C128" s="1" t="s">
        <v>2</v>
      </c>
      <c r="E128" s="7" t="s">
        <v>0</v>
      </c>
      <c r="F128" s="1" t="s">
        <v>2</v>
      </c>
    </row>
    <row r="129" spans="2:6" ht="60" customHeight="1" x14ac:dyDescent="0.2">
      <c r="B129" s="5" t="s">
        <v>707</v>
      </c>
      <c r="C129" s="5">
        <f>Master!D54</f>
        <v>0</v>
      </c>
      <c r="E129" s="5" t="s">
        <v>707</v>
      </c>
      <c r="F129" s="5">
        <f>Master!D55</f>
        <v>0</v>
      </c>
    </row>
    <row r="130" spans="2:6" ht="60" customHeight="1" x14ac:dyDescent="0.2">
      <c r="B130" s="5" t="s">
        <v>708</v>
      </c>
      <c r="C130" s="8">
        <f>Master!E54</f>
        <v>0</v>
      </c>
      <c r="E130" s="5" t="s">
        <v>708</v>
      </c>
      <c r="F130" s="8">
        <f>Master!E55</f>
        <v>0</v>
      </c>
    </row>
    <row r="131" spans="2:6" ht="60" customHeight="1" x14ac:dyDescent="0.2">
      <c r="B131" s="5" t="s">
        <v>709</v>
      </c>
      <c r="C131" s="8">
        <f>Master!F54</f>
        <v>0</v>
      </c>
      <c r="E131" s="5" t="s">
        <v>709</v>
      </c>
      <c r="F131" s="8">
        <f>Master!F55</f>
        <v>0</v>
      </c>
    </row>
    <row r="132" spans="2:6" ht="65.75" customHeight="1" x14ac:dyDescent="0.2">
      <c r="B132" s="5" t="s">
        <v>710</v>
      </c>
      <c r="C132" s="8">
        <f>Master!G54</f>
        <v>0</v>
      </c>
      <c r="E132" s="5" t="s">
        <v>710</v>
      </c>
      <c r="F132" s="8">
        <f>Master!G55</f>
        <v>0</v>
      </c>
    </row>
    <row r="133" spans="2:6" ht="65.75" customHeight="1" thickBot="1" x14ac:dyDescent="0.25">
      <c r="B133" s="5"/>
      <c r="C133" s="20"/>
      <c r="E133" s="5"/>
      <c r="F133" s="20"/>
    </row>
    <row r="134" spans="2:6" ht="19" customHeight="1" x14ac:dyDescent="0.2">
      <c r="B134" s="115">
        <f>Header!B111</f>
        <v>0</v>
      </c>
      <c r="C134" s="116"/>
      <c r="E134" s="115">
        <f>Header!B111</f>
        <v>0</v>
      </c>
      <c r="F134" s="116"/>
    </row>
    <row r="135" spans="2:6" ht="19" customHeight="1" x14ac:dyDescent="0.2">
      <c r="B135" s="117">
        <f>Header!B112</f>
        <v>0</v>
      </c>
      <c r="C135" s="118"/>
      <c r="E135" s="117">
        <f>Header!B112</f>
        <v>0</v>
      </c>
      <c r="F135" s="118"/>
    </row>
    <row r="136" spans="2:6" ht="19" customHeight="1" x14ac:dyDescent="0.2">
      <c r="B136" s="117">
        <f>Header!B113</f>
        <v>0</v>
      </c>
      <c r="C136" s="118"/>
      <c r="E136" s="117">
        <f>Header!B113</f>
        <v>0</v>
      </c>
      <c r="F136" s="118"/>
    </row>
    <row r="137" spans="2:6" x14ac:dyDescent="0.2">
      <c r="B137" s="4"/>
      <c r="C137" s="6"/>
      <c r="E137" s="4"/>
      <c r="F137" s="6"/>
    </row>
    <row r="138" spans="2:6" ht="17" customHeight="1" thickBot="1" x14ac:dyDescent="0.25">
      <c r="B138" s="114"/>
      <c r="C138" s="105"/>
      <c r="E138" s="114"/>
      <c r="F138" s="105"/>
    </row>
    <row r="139" spans="2:6" ht="17" customHeight="1" thickBot="1" x14ac:dyDescent="0.25">
      <c r="B139" s="103">
        <f>Master!C56</f>
        <v>0</v>
      </c>
      <c r="C139" s="105"/>
      <c r="E139" s="103">
        <f>Master!C57</f>
        <v>0</v>
      </c>
      <c r="F139" s="105"/>
    </row>
    <row r="140" spans="2:6" ht="27" customHeight="1" thickBot="1" x14ac:dyDescent="0.25">
      <c r="B140" s="7" t="s">
        <v>0</v>
      </c>
      <c r="C140" s="1" t="s">
        <v>2</v>
      </c>
      <c r="E140" s="7" t="s">
        <v>0</v>
      </c>
      <c r="F140" s="1" t="s">
        <v>2</v>
      </c>
    </row>
    <row r="141" spans="2:6" ht="60" customHeight="1" x14ac:dyDescent="0.2">
      <c r="B141" s="5" t="s">
        <v>707</v>
      </c>
      <c r="C141" s="5">
        <f>Master!D56</f>
        <v>0</v>
      </c>
      <c r="E141" s="5" t="s">
        <v>707</v>
      </c>
      <c r="F141" s="5">
        <f>Master!D57</f>
        <v>0</v>
      </c>
    </row>
    <row r="142" spans="2:6" ht="60" customHeight="1" x14ac:dyDescent="0.2">
      <c r="B142" s="5" t="s">
        <v>708</v>
      </c>
      <c r="C142" s="8">
        <f>Master!E56</f>
        <v>0</v>
      </c>
      <c r="E142" s="5" t="s">
        <v>708</v>
      </c>
      <c r="F142" s="8">
        <f>Master!E57</f>
        <v>0</v>
      </c>
    </row>
    <row r="143" spans="2:6" ht="60" customHeight="1" x14ac:dyDescent="0.2">
      <c r="B143" s="5" t="s">
        <v>709</v>
      </c>
      <c r="C143" s="8">
        <f>Master!F56</f>
        <v>0</v>
      </c>
      <c r="E143" s="5" t="s">
        <v>709</v>
      </c>
      <c r="F143" s="8">
        <f>Master!F57</f>
        <v>0</v>
      </c>
    </row>
    <row r="144" spans="2:6" ht="65.75" customHeight="1" x14ac:dyDescent="0.2">
      <c r="B144" s="5" t="s">
        <v>710</v>
      </c>
      <c r="C144" s="8">
        <f>Master!G56</f>
        <v>0</v>
      </c>
      <c r="E144" s="5" t="s">
        <v>710</v>
      </c>
      <c r="F144" s="8">
        <f>Master!G57</f>
        <v>0</v>
      </c>
    </row>
    <row r="145" spans="2:6" ht="16" customHeight="1" thickBot="1" x14ac:dyDescent="0.25"/>
    <row r="146" spans="2:6" ht="19" customHeight="1" x14ac:dyDescent="0.2">
      <c r="B146" s="115">
        <f>Header!B147</f>
        <v>0</v>
      </c>
      <c r="C146" s="116"/>
      <c r="E146" s="115">
        <f>Header!B147</f>
        <v>0</v>
      </c>
      <c r="F146" s="116"/>
    </row>
    <row r="147" spans="2:6" ht="19" customHeight="1" x14ac:dyDescent="0.2">
      <c r="B147" s="117">
        <f>Header!B148</f>
        <v>0</v>
      </c>
      <c r="C147" s="118"/>
      <c r="E147" s="117">
        <f>Header!B148</f>
        <v>0</v>
      </c>
      <c r="F147" s="118"/>
    </row>
    <row r="148" spans="2:6" ht="19" customHeight="1" x14ac:dyDescent="0.2">
      <c r="B148" s="117">
        <f>Header!B149</f>
        <v>0</v>
      </c>
      <c r="C148" s="118"/>
      <c r="E148" s="117">
        <f>Header!B149</f>
        <v>0</v>
      </c>
      <c r="F148" s="118"/>
    </row>
    <row r="149" spans="2:6" x14ac:dyDescent="0.2">
      <c r="B149" s="4"/>
      <c r="C149" s="6"/>
      <c r="E149" s="4"/>
      <c r="F149" s="6"/>
    </row>
    <row r="150" spans="2:6" ht="17" customHeight="1" thickBot="1" x14ac:dyDescent="0.25">
      <c r="B150" s="114"/>
      <c r="C150" s="105"/>
      <c r="E150" s="114"/>
      <c r="F150" s="105"/>
    </row>
    <row r="151" spans="2:6" ht="17" customHeight="1" thickBot="1" x14ac:dyDescent="0.25">
      <c r="B151" s="103">
        <f>Master!C58</f>
        <v>0</v>
      </c>
      <c r="C151" s="105"/>
      <c r="E151" s="103">
        <f>Master!C59</f>
        <v>0</v>
      </c>
      <c r="F151" s="105"/>
    </row>
    <row r="152" spans="2:6" ht="27" customHeight="1" thickBot="1" x14ac:dyDescent="0.25">
      <c r="B152" s="7" t="s">
        <v>0</v>
      </c>
      <c r="C152" s="1" t="s">
        <v>2</v>
      </c>
      <c r="E152" s="7" t="s">
        <v>0</v>
      </c>
      <c r="F152" s="1" t="s">
        <v>2</v>
      </c>
    </row>
    <row r="153" spans="2:6" ht="60" customHeight="1" x14ac:dyDescent="0.2">
      <c r="B153" s="5" t="s">
        <v>707</v>
      </c>
      <c r="C153" s="5">
        <f>Master!D58</f>
        <v>0</v>
      </c>
      <c r="E153" s="5" t="s">
        <v>707</v>
      </c>
      <c r="F153" s="5">
        <f>Master!D59</f>
        <v>0</v>
      </c>
    </row>
    <row r="154" spans="2:6" ht="60" customHeight="1" x14ac:dyDescent="0.2">
      <c r="B154" s="5" t="s">
        <v>708</v>
      </c>
      <c r="C154" s="8">
        <f>Master!E58</f>
        <v>0</v>
      </c>
      <c r="E154" s="5" t="s">
        <v>708</v>
      </c>
      <c r="F154" s="8">
        <f>Master!E59</f>
        <v>0</v>
      </c>
    </row>
    <row r="155" spans="2:6" ht="60" customHeight="1" x14ac:dyDescent="0.2">
      <c r="B155" s="5" t="s">
        <v>709</v>
      </c>
      <c r="C155" s="8">
        <f>Master!F58</f>
        <v>0</v>
      </c>
      <c r="E155" s="5" t="s">
        <v>709</v>
      </c>
      <c r="F155" s="8">
        <f>Master!F59</f>
        <v>0</v>
      </c>
    </row>
    <row r="156" spans="2:6" ht="65.75" customHeight="1" x14ac:dyDescent="0.2">
      <c r="B156" s="5" t="s">
        <v>710</v>
      </c>
      <c r="C156" s="8">
        <f>Master!G58</f>
        <v>0</v>
      </c>
      <c r="E156" s="5" t="s">
        <v>710</v>
      </c>
      <c r="F156" s="8">
        <f>Master!G59</f>
        <v>0</v>
      </c>
    </row>
    <row r="157" spans="2:6" ht="65.75" customHeight="1" thickBot="1" x14ac:dyDescent="0.25">
      <c r="B157" s="5"/>
      <c r="C157" s="20"/>
      <c r="E157" s="5"/>
      <c r="F157" s="20"/>
    </row>
    <row r="158" spans="2:6" ht="19" customHeight="1" x14ac:dyDescent="0.2">
      <c r="B158" s="115">
        <f>Header!B147</f>
        <v>0</v>
      </c>
      <c r="C158" s="116"/>
      <c r="E158" s="115">
        <f>Header!B147</f>
        <v>0</v>
      </c>
      <c r="F158" s="116"/>
    </row>
    <row r="159" spans="2:6" ht="19" customHeight="1" x14ac:dyDescent="0.2">
      <c r="B159" s="117">
        <f>Header!B148</f>
        <v>0</v>
      </c>
      <c r="C159" s="118"/>
      <c r="E159" s="117">
        <f>Header!B148</f>
        <v>0</v>
      </c>
      <c r="F159" s="118"/>
    </row>
    <row r="160" spans="2:6" ht="19" customHeight="1" x14ac:dyDescent="0.2">
      <c r="B160" s="117">
        <f>Header!B149</f>
        <v>0</v>
      </c>
      <c r="C160" s="118"/>
      <c r="E160" s="117">
        <f>Header!B149</f>
        <v>0</v>
      </c>
      <c r="F160" s="118"/>
    </row>
    <row r="161" spans="2:6" x14ac:dyDescent="0.2">
      <c r="B161" s="4"/>
      <c r="C161" s="6"/>
      <c r="E161" s="4"/>
      <c r="F161" s="6"/>
    </row>
    <row r="162" spans="2:6" ht="17" customHeight="1" thickBot="1" x14ac:dyDescent="0.25">
      <c r="B162" s="114"/>
      <c r="C162" s="105"/>
      <c r="E162" s="114"/>
      <c r="F162" s="105"/>
    </row>
    <row r="163" spans="2:6" ht="17" customHeight="1" thickBot="1" x14ac:dyDescent="0.25">
      <c r="B163" s="103">
        <f>Master!C60</f>
        <v>0</v>
      </c>
      <c r="C163" s="105"/>
      <c r="E163" s="103">
        <f>Master!C61</f>
        <v>0</v>
      </c>
      <c r="F163" s="105"/>
    </row>
    <row r="164" spans="2:6" ht="27" customHeight="1" thickBot="1" x14ac:dyDescent="0.25">
      <c r="B164" s="7" t="s">
        <v>0</v>
      </c>
      <c r="C164" s="1" t="s">
        <v>2</v>
      </c>
      <c r="E164" s="7" t="s">
        <v>0</v>
      </c>
      <c r="F164" s="1" t="s">
        <v>2</v>
      </c>
    </row>
    <row r="165" spans="2:6" ht="60" customHeight="1" x14ac:dyDescent="0.2">
      <c r="B165" s="5" t="s">
        <v>707</v>
      </c>
      <c r="C165" s="5">
        <f>Master!D60</f>
        <v>0</v>
      </c>
      <c r="E165" s="5" t="s">
        <v>707</v>
      </c>
      <c r="F165" s="5">
        <f>Master!D61</f>
        <v>0</v>
      </c>
    </row>
    <row r="166" spans="2:6" ht="60" customHeight="1" x14ac:dyDescent="0.2">
      <c r="B166" s="5" t="s">
        <v>708</v>
      </c>
      <c r="C166" s="8">
        <f>Master!E60</f>
        <v>0</v>
      </c>
      <c r="E166" s="5" t="s">
        <v>708</v>
      </c>
      <c r="F166" s="8">
        <f>Master!E61</f>
        <v>0</v>
      </c>
    </row>
    <row r="167" spans="2:6" ht="60" customHeight="1" x14ac:dyDescent="0.2">
      <c r="B167" s="5" t="s">
        <v>709</v>
      </c>
      <c r="C167" s="8">
        <f>Master!F60</f>
        <v>0</v>
      </c>
      <c r="E167" s="5" t="s">
        <v>709</v>
      </c>
      <c r="F167" s="8">
        <f>Master!F61</f>
        <v>0</v>
      </c>
    </row>
    <row r="168" spans="2:6" ht="65.75" customHeight="1" x14ac:dyDescent="0.2">
      <c r="B168" s="5" t="s">
        <v>710</v>
      </c>
      <c r="C168" s="8">
        <f>Master!G60</f>
        <v>0</v>
      </c>
      <c r="E168" s="5" t="s">
        <v>710</v>
      </c>
      <c r="F168" s="8">
        <f>Master!G61</f>
        <v>0</v>
      </c>
    </row>
    <row r="169" spans="2:6" ht="65.75" customHeight="1" thickBot="1" x14ac:dyDescent="0.25">
      <c r="B169" s="5"/>
      <c r="C169" s="20"/>
      <c r="E169" s="5"/>
      <c r="F169" s="20"/>
    </row>
    <row r="170" spans="2:6" ht="19" customHeight="1" x14ac:dyDescent="0.2">
      <c r="B170" s="115">
        <f>Header!B147</f>
        <v>0</v>
      </c>
      <c r="C170" s="116"/>
      <c r="E170" s="115">
        <f>Header!B147</f>
        <v>0</v>
      </c>
      <c r="F170" s="116"/>
    </row>
    <row r="171" spans="2:6" ht="19" customHeight="1" x14ac:dyDescent="0.2">
      <c r="B171" s="117">
        <f>Header!B148</f>
        <v>0</v>
      </c>
      <c r="C171" s="118"/>
      <c r="E171" s="117">
        <f>Header!B148</f>
        <v>0</v>
      </c>
      <c r="F171" s="118"/>
    </row>
    <row r="172" spans="2:6" ht="19" customHeight="1" x14ac:dyDescent="0.2">
      <c r="B172" s="117">
        <f>Header!B149</f>
        <v>0</v>
      </c>
      <c r="C172" s="118"/>
      <c r="E172" s="117">
        <f>Header!B149</f>
        <v>0</v>
      </c>
      <c r="F172" s="118"/>
    </row>
    <row r="173" spans="2:6" x14ac:dyDescent="0.2">
      <c r="B173" s="4"/>
      <c r="C173" s="6"/>
      <c r="E173" s="4"/>
      <c r="F173" s="6"/>
    </row>
    <row r="174" spans="2:6" ht="17" customHeight="1" thickBot="1" x14ac:dyDescent="0.25">
      <c r="B174" s="114"/>
      <c r="C174" s="105"/>
      <c r="E174" s="114"/>
      <c r="F174" s="105"/>
    </row>
    <row r="175" spans="2:6" ht="17" customHeight="1" thickBot="1" x14ac:dyDescent="0.25">
      <c r="B175" s="103">
        <f>Master!C62</f>
        <v>0</v>
      </c>
      <c r="C175" s="105"/>
      <c r="E175" s="103">
        <f>Master!C63</f>
        <v>0</v>
      </c>
      <c r="F175" s="105"/>
    </row>
    <row r="176" spans="2:6" ht="27" customHeight="1" thickBot="1" x14ac:dyDescent="0.25">
      <c r="B176" s="7" t="s">
        <v>0</v>
      </c>
      <c r="C176" s="1" t="s">
        <v>2</v>
      </c>
      <c r="E176" s="7" t="s">
        <v>0</v>
      </c>
      <c r="F176" s="1" t="s">
        <v>2</v>
      </c>
    </row>
    <row r="177" spans="2:6" ht="60" customHeight="1" x14ac:dyDescent="0.2">
      <c r="B177" s="5" t="s">
        <v>707</v>
      </c>
      <c r="C177" s="5">
        <f>Master!D62</f>
        <v>0</v>
      </c>
      <c r="E177" s="5" t="s">
        <v>707</v>
      </c>
      <c r="F177" s="5">
        <f>Master!D63</f>
        <v>0</v>
      </c>
    </row>
    <row r="178" spans="2:6" ht="60" customHeight="1" x14ac:dyDescent="0.2">
      <c r="B178" s="5" t="s">
        <v>708</v>
      </c>
      <c r="C178" s="8">
        <f>Master!E62</f>
        <v>0</v>
      </c>
      <c r="E178" s="5" t="s">
        <v>708</v>
      </c>
      <c r="F178" s="8">
        <f>Master!E63</f>
        <v>0</v>
      </c>
    </row>
    <row r="179" spans="2:6" ht="60" customHeight="1" x14ac:dyDescent="0.2">
      <c r="B179" s="5" t="s">
        <v>709</v>
      </c>
      <c r="C179" s="8">
        <f>Master!F62</f>
        <v>0</v>
      </c>
      <c r="E179" s="5" t="s">
        <v>709</v>
      </c>
      <c r="F179" s="8">
        <f>Master!F63</f>
        <v>0</v>
      </c>
    </row>
    <row r="180" spans="2:6" ht="65.75" customHeight="1" x14ac:dyDescent="0.2">
      <c r="B180" s="5" t="s">
        <v>710</v>
      </c>
      <c r="C180" s="8">
        <f>Master!G62</f>
        <v>0</v>
      </c>
      <c r="E180" s="5" t="s">
        <v>710</v>
      </c>
      <c r="F180" s="8">
        <f>Master!G63</f>
        <v>0</v>
      </c>
    </row>
    <row r="181" spans="2:6" ht="16" customHeight="1" x14ac:dyDescent="0.2"/>
  </sheetData>
  <mergeCells count="150">
    <mergeCell ref="B175:C175"/>
    <mergeCell ref="B87:C87"/>
    <mergeCell ref="B147:C147"/>
    <mergeCell ref="E30:F30"/>
    <mergeCell ref="E2:F2"/>
    <mergeCell ref="B74:C74"/>
    <mergeCell ref="B139:C139"/>
    <mergeCell ref="B114:C114"/>
    <mergeCell ref="B123:C123"/>
    <mergeCell ref="E159:F159"/>
    <mergeCell ref="B163:C163"/>
    <mergeCell ref="B50:C50"/>
    <mergeCell ref="B110:C110"/>
    <mergeCell ref="B4:C4"/>
    <mergeCell ref="B126:C126"/>
    <mergeCell ref="B75:C75"/>
    <mergeCell ref="B135:C135"/>
    <mergeCell ref="E43:F43"/>
    <mergeCell ref="B62:C62"/>
    <mergeCell ref="B150:C150"/>
    <mergeCell ref="E98:F98"/>
    <mergeCell ref="B159:C159"/>
    <mergeCell ref="E42:F42"/>
    <mergeCell ref="E126:F126"/>
    <mergeCell ref="B171:C171"/>
    <mergeCell ref="B170:C170"/>
    <mergeCell ref="E78:F78"/>
    <mergeCell ref="B148:C148"/>
    <mergeCell ref="B88:C88"/>
    <mergeCell ref="B162:C162"/>
    <mergeCell ref="E158:F158"/>
    <mergeCell ref="E114:F114"/>
    <mergeCell ref="B26:C26"/>
    <mergeCell ref="E102:F102"/>
    <mergeCell ref="B151:C151"/>
    <mergeCell ref="B67:C67"/>
    <mergeCell ref="E63:F63"/>
    <mergeCell ref="B115:C115"/>
    <mergeCell ref="B31:C31"/>
    <mergeCell ref="B102:C102"/>
    <mergeCell ref="E6:F6"/>
    <mergeCell ref="E15:F15"/>
    <mergeCell ref="E86:F86"/>
    <mergeCell ref="B19:C19"/>
    <mergeCell ref="B172:C172"/>
    <mergeCell ref="B146:C146"/>
    <mergeCell ref="B28:C28"/>
    <mergeCell ref="B99:C99"/>
    <mergeCell ref="E162:F162"/>
    <mergeCell ref="B30:C30"/>
    <mergeCell ref="E54:F54"/>
    <mergeCell ref="B124:C124"/>
    <mergeCell ref="E7:F7"/>
    <mergeCell ref="E134:F134"/>
    <mergeCell ref="B76:C76"/>
    <mergeCell ref="E112:F112"/>
    <mergeCell ref="E150:F150"/>
    <mergeCell ref="E135:F135"/>
    <mergeCell ref="E39:F39"/>
    <mergeCell ref="B43:C43"/>
    <mergeCell ref="B52:C52"/>
    <mergeCell ref="B98:C98"/>
    <mergeCell ref="E103:F103"/>
    <mergeCell ref="B42:C42"/>
    <mergeCell ref="B2:C2"/>
    <mergeCell ref="E38:F38"/>
    <mergeCell ref="E147:F147"/>
    <mergeCell ref="E170:F170"/>
    <mergeCell ref="E40:F40"/>
    <mergeCell ref="E90:F90"/>
    <mergeCell ref="B103:C103"/>
    <mergeCell ref="B174:C174"/>
    <mergeCell ref="E26:F26"/>
    <mergeCell ref="E110:F110"/>
    <mergeCell ref="B158:C158"/>
    <mergeCell ref="E124:F124"/>
    <mergeCell ref="B6:C6"/>
    <mergeCell ref="E172:F172"/>
    <mergeCell ref="E16:F16"/>
    <mergeCell ref="B15:C15"/>
    <mergeCell ref="E76:F76"/>
    <mergeCell ref="E174:F174"/>
    <mergeCell ref="B160:C160"/>
    <mergeCell ref="E66:F66"/>
    <mergeCell ref="B79:C79"/>
    <mergeCell ref="E18:F18"/>
    <mergeCell ref="E50:F50"/>
    <mergeCell ref="B54:C54"/>
    <mergeCell ref="E3:F3"/>
    <mergeCell ref="B138:C138"/>
    <mergeCell ref="B16:C16"/>
    <mergeCell ref="E55:F55"/>
    <mergeCell ref="B90:C90"/>
    <mergeCell ref="E175:F175"/>
    <mergeCell ref="B3:C3"/>
    <mergeCell ref="E122:F122"/>
    <mergeCell ref="E67:F67"/>
    <mergeCell ref="B66:C66"/>
    <mergeCell ref="E127:F127"/>
    <mergeCell ref="E14:F14"/>
    <mergeCell ref="B27:C27"/>
    <mergeCell ref="B18:C18"/>
    <mergeCell ref="E4:F4"/>
    <mergeCell ref="B7:C7"/>
    <mergeCell ref="B134:C134"/>
    <mergeCell ref="E151:F151"/>
    <mergeCell ref="E160:F160"/>
    <mergeCell ref="E52:F52"/>
    <mergeCell ref="B122:C122"/>
    <mergeCell ref="E123:F123"/>
    <mergeCell ref="E171:F171"/>
    <mergeCell ref="B86:C86"/>
    <mergeCell ref="E163:F163"/>
    <mergeCell ref="B40:C40"/>
    <mergeCell ref="B55:C55"/>
    <mergeCell ref="E91:F91"/>
    <mergeCell ref="B64:C64"/>
    <mergeCell ref="E100:F100"/>
    <mergeCell ref="B51:C51"/>
    <mergeCell ref="E136:F136"/>
    <mergeCell ref="E75:F75"/>
    <mergeCell ref="E146:F146"/>
    <mergeCell ref="E115:F115"/>
    <mergeCell ref="B91:C91"/>
    <mergeCell ref="E139:F139"/>
    <mergeCell ref="B100:C100"/>
    <mergeCell ref="E62:F62"/>
    <mergeCell ref="E111:F111"/>
    <mergeCell ref="E88:F88"/>
    <mergeCell ref="E138:F138"/>
    <mergeCell ref="B136:C136"/>
    <mergeCell ref="B111:C111"/>
    <mergeCell ref="E74:F74"/>
    <mergeCell ref="E64:F64"/>
    <mergeCell ref="E79:F79"/>
    <mergeCell ref="E51:F51"/>
    <mergeCell ref="E87:F87"/>
    <mergeCell ref="B63:C63"/>
    <mergeCell ref="E31:F31"/>
    <mergeCell ref="B14:C14"/>
    <mergeCell ref="E148:F148"/>
    <mergeCell ref="B38:C38"/>
    <mergeCell ref="B78:C78"/>
    <mergeCell ref="E99:F99"/>
    <mergeCell ref="B112:C112"/>
    <mergeCell ref="E27:F27"/>
    <mergeCell ref="B127:C127"/>
    <mergeCell ref="B39:C39"/>
    <mergeCell ref="E19:F19"/>
    <mergeCell ref="E28:F28"/>
  </mergeCells>
  <pageMargins left="0.25" right="0.25" top="0.75" bottom="0.75" header="0.3" footer="0.3"/>
  <pageSetup scale="46" orientation="portrait"/>
  <drawing r:id="rId1"/>
  <tableParts count="3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Master</vt:lpstr>
      <vt:lpstr>Terminal Cans</vt:lpstr>
      <vt:lpstr>RSPs</vt:lpstr>
      <vt:lpstr>Power Supplies</vt:lpstr>
      <vt:lpstr>LX-KP-710s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C1 DMP Toolkit</cp:lastModifiedBy>
  <cp:lastPrinted>2026-01-21T23:38:02Z</cp:lastPrinted>
  <dcterms:created xsi:type="dcterms:W3CDTF">2020-07-10T17:30:57Z</dcterms:created>
  <dcterms:modified xsi:type="dcterms:W3CDTF">2026-07-09T18:42:34Z</dcterms:modified>
</cp:coreProperties>
</file>